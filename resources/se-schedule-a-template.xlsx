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60" windowWidth="20055" windowHeight="7950" tabRatio="600" firstSheet="0" activeTab="0" autoFilterDateGrouping="1"/>
  </bookViews>
  <sheets>
    <sheet xmlns:r="http://schemas.openxmlformats.org/officeDocument/2006/relationships" name="1 nARASIMHA" sheetId="1" state="visible" r:id="rId1"/>
  </sheets>
  <definedNames>
    <definedName name="_xlnm.Print_Area" localSheetId="0">'1 nARASIMHA'!$A$1:$F$29</definedName>
  </definedNames>
  <calcPr calcId="124519" fullCalcOnLoad="1"/>
</workbook>
</file>

<file path=xl/styles.xml><?xml version="1.0" encoding="utf-8"?>
<styleSheet xmlns="http://schemas.openxmlformats.org/spreadsheetml/2006/main">
  <numFmts count="0"/>
  <fonts count="19">
    <font>
      <name val="Calibri"/>
      <charset val="134"/>
      <color theme="1"/>
      <sz val="11"/>
      <scheme val="minor"/>
    </font>
    <font>
      <name val="Calibri"/>
      <family val="2"/>
      <color theme="1"/>
      <sz val="11"/>
      <scheme val="minor"/>
    </font>
    <font>
      <name val="Calibri"/>
      <charset val="134"/>
      <color theme="1"/>
      <sz val="11"/>
      <scheme val="minor"/>
    </font>
    <font>
      <name val="Arial"/>
      <charset val="134"/>
      <b val="1"/>
      <sz val="10"/>
    </font>
    <font>
      <name val="Arial"/>
      <charset val="134"/>
      <color indexed="8"/>
      <sz val="9"/>
    </font>
    <font>
      <name val="Arial"/>
      <family val="2"/>
      <b val="1"/>
      <color indexed="8"/>
      <sz val="10"/>
    </font>
    <font>
      <name val="Arial"/>
      <charset val="134"/>
      <b val="1"/>
      <color indexed="8"/>
      <sz val="10"/>
    </font>
    <font>
      <name val="Arial"/>
      <charset val="134"/>
      <b val="1"/>
      <color indexed="8"/>
      <sz val="9"/>
    </font>
    <font>
      <name val="Arial"/>
      <family val="2"/>
      <b val="1"/>
      <color indexed="8"/>
      <sz val="9"/>
    </font>
    <font>
      <name val="Arial"/>
      <charset val="134"/>
      <sz val="9"/>
    </font>
    <font>
      <name val="Times New Roman"/>
      <family val="1"/>
      <color theme="1"/>
      <sz val="11"/>
    </font>
    <font>
      <name val="Arial"/>
      <charset val="134"/>
      <sz val="10"/>
    </font>
    <font>
      <name val="Arial"/>
      <charset val="134"/>
      <b val="1"/>
      <sz val="9"/>
    </font>
    <font>
      <name val="Arial"/>
      <charset val="134"/>
      <color indexed="8"/>
      <sz val="10"/>
    </font>
    <font>
      <name val="Helv"/>
      <charset val="204"/>
      <sz val="10"/>
    </font>
    <font>
      <name val="Verdana"/>
      <family val="2"/>
      <sz val="10"/>
    </font>
    <font>
      <name val="Times New Roman"/>
      <family val="1"/>
      <sz val="12"/>
    </font>
    <font>
      <name val="Times New Roman"/>
      <family val="1"/>
      <color theme="1" tint="0.0499893185216834"/>
      <sz val="12"/>
    </font>
    <font>
      <name val="Times New Roman"/>
      <family val="1"/>
      <b val="1"/>
      <sz val="12"/>
    </font>
  </fonts>
  <fills count="3">
    <fill>
      <patternFill/>
    </fill>
    <fill>
      <patternFill patternType="gray125"/>
    </fill>
    <fill>
      <patternFill patternType="solid">
        <fgColor theme="0"/>
        <bgColor indexed="64"/>
      </patternFill>
    </fill>
  </fills>
  <borders count="9">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21">
    <xf numFmtId="0" fontId="2" fillId="0" borderId="0"/>
    <xf numFmtId="0" fontId="11" fillId="0" borderId="0"/>
    <xf numFmtId="0" fontId="11" fillId="0" borderId="0"/>
    <xf numFmtId="0" fontId="11" fillId="0" borderId="0"/>
    <xf numFmtId="0" fontId="11" fillId="0" borderId="0"/>
    <xf numFmtId="0" fontId="11" fillId="0" borderId="0"/>
    <xf numFmtId="0" fontId="1" fillId="0" borderId="0"/>
    <xf numFmtId="0" fontId="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 fillId="0" borderId="0"/>
    <xf numFmtId="0" fontId="11" fillId="0" borderId="0"/>
    <xf numFmtId="0" fontId="11" fillId="0" borderId="0"/>
    <xf numFmtId="0" fontId="11" fillId="0" borderId="0"/>
    <xf numFmtId="0" fontId="2" fillId="0" borderId="0"/>
    <xf numFmtId="0" fontId="14" fillId="0" borderId="0"/>
  </cellStyleXfs>
  <cellXfs count="58">
    <xf numFmtId="0" fontId="0" fillId="0" borderId="0" pivotButton="0" quotePrefix="0" xfId="0"/>
    <xf numFmtId="4" fontId="7"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4" fontId="0" fillId="0" borderId="0" pivotButton="0" quotePrefix="0" xfId="0"/>
    <xf numFmtId="3" fontId="0" fillId="0" borderId="0" pivotButton="0" quotePrefix="0" xfId="0"/>
    <xf numFmtId="0" fontId="7" fillId="0" borderId="1" applyAlignment="1" pivotButton="0" quotePrefix="0" xfId="0">
      <alignment horizontal="center" vertical="center" wrapText="1"/>
    </xf>
    <xf numFmtId="0" fontId="7" fillId="0" borderId="2" applyAlignment="1" pivotButton="0" quotePrefix="0" xfId="0">
      <alignment horizontal="center" vertical="center" wrapText="1"/>
    </xf>
    <xf numFmtId="0" fontId="9" fillId="2" borderId="2" applyAlignment="1" pivotButton="0" quotePrefix="0" xfId="0">
      <alignment horizontal="center" vertical="center" wrapText="1"/>
    </xf>
    <xf numFmtId="2" fontId="10" fillId="0" borderId="2" applyAlignment="1" pivotButton="0" quotePrefix="0" xfId="0">
      <alignment horizontal="center" vertical="center"/>
    </xf>
    <xf numFmtId="2" fontId="11" fillId="0" borderId="2" applyAlignment="1" pivotButton="0" quotePrefix="0" xfId="0">
      <alignment horizontal="center" vertical="center" wrapText="1"/>
    </xf>
    <xf numFmtId="0" fontId="11" fillId="0" borderId="4" applyAlignment="1" pivotButton="0" quotePrefix="0" xfId="0">
      <alignment horizontal="center" vertical="center" wrapText="1"/>
    </xf>
    <xf numFmtId="2" fontId="9" fillId="0" borderId="4" applyAlignment="1" pivotButton="0" quotePrefix="0" xfId="0">
      <alignment horizontal="center" vertical="center" wrapText="1"/>
    </xf>
    <xf numFmtId="2" fontId="0" fillId="0" borderId="4" applyAlignment="1" pivotButton="0" quotePrefix="0" xfId="0">
      <alignment horizontal="center" vertical="center"/>
    </xf>
    <xf numFmtId="0" fontId="0" fillId="0" borderId="4" applyAlignment="1" pivotButton="0" quotePrefix="0" xfId="0">
      <alignment horizontal="center" vertical="center"/>
    </xf>
    <xf numFmtId="2" fontId="12" fillId="0" borderId="4" applyAlignment="1" pivotButton="0" quotePrefix="0" xfId="2">
      <alignment horizontal="center" vertical="center" wrapText="1"/>
    </xf>
    <xf numFmtId="0" fontId="11" fillId="0" borderId="2" applyAlignment="1" pivotButton="0" quotePrefix="0" xfId="0">
      <alignment horizontal="center" vertical="center" wrapText="1"/>
    </xf>
    <xf numFmtId="2" fontId="13" fillId="0" borderId="2" applyAlignment="1" pivotButton="0" quotePrefix="0" xfId="0">
      <alignment horizontal="center" vertical="center" wrapText="1"/>
    </xf>
    <xf numFmtId="0" fontId="6" fillId="0" borderId="2" applyAlignment="1" pivotButton="0" quotePrefix="0" xfId="0">
      <alignment horizontal="right" vertical="center" wrapText="1"/>
    </xf>
    <xf numFmtId="2" fontId="11" fillId="0" borderId="2" applyAlignment="1" pivotButton="0" quotePrefix="0" xfId="2">
      <alignment horizontal="center" vertical="center" wrapText="1"/>
    </xf>
    <xf numFmtId="2" fontId="3" fillId="0" borderId="2" applyAlignment="1" pivotButton="0" quotePrefix="0" xfId="2">
      <alignment horizontal="left" vertical="center" wrapText="1"/>
    </xf>
    <xf numFmtId="0" fontId="4" fillId="0" borderId="2" applyAlignment="1" pivotButton="0" quotePrefix="0" xfId="0">
      <alignment horizontal="center" vertical="center" wrapText="1"/>
    </xf>
    <xf numFmtId="0" fontId="7" fillId="0" borderId="2" applyAlignment="1" pivotButton="0" quotePrefix="0" xfId="0">
      <alignment horizontal="left" vertical="center" wrapText="1"/>
    </xf>
    <xf numFmtId="0" fontId="4" fillId="0" borderId="0" applyAlignment="1" pivotButton="0" quotePrefix="0" xfId="0">
      <alignment horizontal="center" vertical="center" wrapText="1"/>
    </xf>
    <xf numFmtId="0" fontId="7" fillId="0" borderId="0" applyAlignment="1" pivotButton="0" quotePrefix="0" xfId="0">
      <alignment horizontal="center" vertical="center" wrapText="1"/>
    </xf>
    <xf numFmtId="2" fontId="4" fillId="0" borderId="0" applyAlignment="1" pivotButton="0" quotePrefix="0" xfId="0">
      <alignment horizontal="center" vertical="center" wrapText="1"/>
    </xf>
    <xf numFmtId="0" fontId="7" fillId="0" borderId="0" applyAlignment="1" pivotButton="0" quotePrefix="0" xfId="0">
      <alignment vertical="center" wrapText="1"/>
    </xf>
    <xf numFmtId="0" fontId="0" fillId="0" borderId="0" applyAlignment="1" pivotButton="0" quotePrefix="0" xfId="0">
      <alignment horizontal="center" vertical="center" wrapText="1"/>
    </xf>
    <xf numFmtId="0" fontId="15" fillId="0" borderId="2" applyAlignment="1" pivotButton="0" quotePrefix="0" xfId="0">
      <alignment vertical="top" wrapText="1"/>
    </xf>
    <xf numFmtId="2" fontId="17" fillId="2" borderId="2" applyAlignment="1" pivotButton="0" quotePrefix="0" xfId="1">
      <alignment horizontal="center" vertical="center" wrapText="1"/>
    </xf>
    <xf numFmtId="2" fontId="16" fillId="2" borderId="2" applyAlignment="1" pivotButton="0" quotePrefix="0" xfId="14">
      <alignment horizontal="center" vertical="center"/>
    </xf>
    <xf numFmtId="0" fontId="16" fillId="0" borderId="2" applyAlignment="1" pivotButton="0" quotePrefix="0" xfId="1">
      <alignment horizontal="center" vertical="center" wrapText="1"/>
    </xf>
    <xf numFmtId="0" fontId="18" fillId="2" borderId="2" applyAlignment="1" pivotButton="0" quotePrefix="0" xfId="1">
      <alignment horizontal="center" vertical="center" wrapText="1"/>
    </xf>
    <xf numFmtId="0" fontId="15" fillId="0" borderId="2" applyAlignment="1" pivotButton="0" quotePrefix="0" xfId="0">
      <alignment horizontal="center" vertical="center" wrapText="1"/>
    </xf>
    <xf numFmtId="0" fontId="0" fillId="0" borderId="0" applyAlignment="1" pivotButton="0" quotePrefix="0" xfId="0">
      <alignment horizontal="center" vertical="center"/>
    </xf>
    <xf numFmtId="0" fontId="4" fillId="0" borderId="0" applyAlignment="1" pivotButton="0" quotePrefix="0" xfId="0">
      <alignment horizontal="left" vertical="center" wrapText="1"/>
    </xf>
    <xf numFmtId="0" fontId="3" fillId="0" borderId="0" applyAlignment="1" pivotButton="0" quotePrefix="0" xfId="0">
      <alignment horizontal="center"/>
    </xf>
    <xf numFmtId="0" fontId="3" fillId="0" borderId="0" applyAlignment="1" pivotButton="0" quotePrefix="0" xfId="0">
      <alignment horizontal="center"/>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7" fillId="0" borderId="3" applyAlignment="1" pivotButton="0" quotePrefix="0" xfId="0">
      <alignment horizontal="center" vertical="center" wrapText="1"/>
    </xf>
    <xf numFmtId="0" fontId="0" fillId="0" borderId="5" pivotButton="0" quotePrefix="0" xfId="0"/>
    <xf numFmtId="0" fontId="0" fillId="0" borderId="6" pivotButton="0" quotePrefix="0" xfId="0"/>
    <xf numFmtId="2" fontId="7" fillId="0" borderId="3" applyAlignment="1" pivotButton="0" quotePrefix="0" xfId="0">
      <alignment horizontal="center" vertical="center" wrapText="1"/>
    </xf>
    <xf numFmtId="2" fontId="7" fillId="0" borderId="5" applyAlignment="1" pivotButton="0" quotePrefix="0" xfId="0">
      <alignment horizontal="center" vertical="center" wrapText="1"/>
    </xf>
    <xf numFmtId="2" fontId="7" fillId="0" borderId="6" applyAlignment="1" pivotButton="0" quotePrefix="0" xfId="0">
      <alignment horizontal="center"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center" vertical="center" wrapText="1"/>
    </xf>
    <xf numFmtId="2" fontId="7" fillId="0" borderId="0" applyAlignment="1" pivotButton="0" quotePrefix="0" xfId="0">
      <alignment horizontal="center" vertical="center" wrapText="1"/>
    </xf>
    <xf numFmtId="2" fontId="4" fillId="0" borderId="3" applyAlignment="1" pivotButton="0" quotePrefix="0" xfId="0">
      <alignment horizontal="center" vertical="center" wrapText="1"/>
    </xf>
    <xf numFmtId="2" fontId="4" fillId="0" borderId="5" applyAlignment="1" pivotButton="0" quotePrefix="0" xfId="0">
      <alignment horizontal="center" vertical="center" wrapText="1"/>
    </xf>
    <xf numFmtId="2" fontId="4" fillId="0" borderId="6" applyAlignment="1" pivotButton="0" quotePrefix="0" xfId="0">
      <alignment horizontal="center" vertical="center" wrapText="1"/>
    </xf>
    <xf numFmtId="0" fontId="4" fillId="0" borderId="3"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6" applyAlignment="1" pivotButton="0" quotePrefix="0" xfId="0">
      <alignment horizontal="center" vertical="center" wrapText="1"/>
    </xf>
    <xf numFmtId="2" fontId="7" fillId="0" borderId="2" applyAlignment="1" pivotButton="0" quotePrefix="0" xfId="0">
      <alignment horizontal="center" vertical="center" wrapText="1"/>
    </xf>
    <xf numFmtId="2" fontId="4" fillId="0" borderId="2" applyAlignment="1" pivotButton="0" quotePrefix="0" xfId="0">
      <alignment horizontal="center" vertical="center" wrapText="1"/>
    </xf>
  </cellXfs>
  <cellStyles count="21">
    <cellStyle name="Normal" xfId="0" builtinId="0"/>
    <cellStyle name="Normal 10" xfId="1"/>
    <cellStyle name="Normal 3" xfId="2"/>
    <cellStyle name="Normal 10 2" xfId="3"/>
    <cellStyle name="Normal 11 2" xfId="4"/>
    <cellStyle name="Normal 12 2" xfId="5"/>
    <cellStyle name="Normal 13 2" xfId="6"/>
    <cellStyle name="Normal 14" xfId="7"/>
    <cellStyle name="Normal 15" xfId="8"/>
    <cellStyle name="Normal 15 2" xfId="9"/>
    <cellStyle name="Normal 17" xfId="10"/>
    <cellStyle name="Normal 19" xfId="11"/>
    <cellStyle name="Normal 2" xfId="12"/>
    <cellStyle name="Normal 2 10" xfId="13"/>
    <cellStyle name="Normal 2 2" xfId="14"/>
    <cellStyle name="Normal 2 4" xfId="15"/>
    <cellStyle name="Normal 21" xfId="16"/>
    <cellStyle name="Normal 27" xfId="17"/>
    <cellStyle name="Normal 8 2" xfId="18"/>
    <cellStyle name="Normal 9" xfId="19"/>
    <cellStyle name="Style 1" xfId="2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FFFF00"/>
    <outlinePr summaryBelow="1" summaryRight="1"/>
    <pageSetUpPr fitToPage="1"/>
  </sheetPr>
  <dimension ref="A1:H29"/>
  <sheetViews>
    <sheetView tabSelected="1" view="pageBreakPreview" topLeftCell="A10" workbookViewId="0">
      <selection activeCell="D13" sqref="D13"/>
    </sheetView>
  </sheetViews>
  <sheetFormatPr baseColWidth="8" defaultColWidth="9" defaultRowHeight="15"/>
  <cols>
    <col width="7.5703125" customWidth="1" min="1" max="1"/>
    <col width="10.140625" customWidth="1" min="2" max="2"/>
    <col width="77.140625" customWidth="1" min="3" max="3"/>
    <col width="13.140625" customWidth="1" min="4" max="4"/>
    <col width="7.140625" customWidth="1" min="5" max="5"/>
    <col width="11.140625" customWidth="1" min="6" max="6"/>
    <col width="12.140625" customWidth="1" min="7" max="7"/>
    <col width="10.5703125" customWidth="1" min="8" max="8"/>
  </cols>
  <sheetData>
    <row r="1">
      <c r="A1" s="37" t="inlineStr">
        <is>
          <t>SCHEDULE-A</t>
        </is>
      </c>
    </row>
    <row r="2">
      <c r="A2" s="37" t="inlineStr">
        <is>
          <t>BILL OF QUANTITIES</t>
        </is>
      </c>
    </row>
    <row r="3">
      <c r="A3" s="37" t="inlineStr">
        <is>
          <t>Preamble</t>
        </is>
      </c>
    </row>
    <row r="4" ht="33" customHeight="1">
      <c r="A4" s="35" t="inlineStr">
        <is>
          <t>1. The Bill of Quantities shall be read in conjuction with the instructions to Tenders, General conditions of contract and conditions of Particular Application. Technical Specifications and Specification drawings.</t>
        </is>
      </c>
    </row>
    <row r="5" ht="33" customHeight="1">
      <c r="A5" s="35" t="inlineStr">
        <is>
          <t>2. It is to be expressly understood that the measured work is to be taken net (notwith standing any cuystom or practice to the Specification Drawings or as may be ordered from time to time by the   Executive Engineer and the cost calculated by measurement</t>
        </is>
      </c>
    </row>
    <row r="6" ht="33" customHeight="1">
      <c r="A6" s="35" t="inlineStr">
        <is>
          <t xml:space="preserve">3. The premium  discount tendered in Part I of the Bill of Quantities shall, except in so far as is otherwise provided for under the Contract, including all construction plant (Contractor's equipment during construction), materials, erection, maintenance </t>
        </is>
      </c>
    </row>
    <row r="7" ht="33" customHeight="1">
      <c r="A7" s="35" t="inlineStr">
        <is>
          <t xml:space="preserve">4. The whole cost of complying with the provisions of the Contract shall be included in the items provided in the priced Bill of Quantities, and where no items are provided the cost shall be deemed to be distributed among the items entered in the Bill of </t>
        </is>
      </c>
    </row>
    <row r="8" ht="33" customHeight="1">
      <c r="A8" s="35" t="inlineStr">
        <is>
          <t>5. General directions and descriptions of work and materials are not necessarily repeated not summarised in the Bill of Quantities.</t>
        </is>
      </c>
    </row>
    <row r="9" ht="33" customHeight="1">
      <c r="A9" s="35" t="inlineStr">
        <is>
          <t>6. It should be definitely understood that the O/o SE, {{Zone}} Zone  does not accept any responsibility for the correctness or completeness of this schedule and that this schedule is liable to alterations by omissions, deductions, or additions at the discr</t>
        </is>
      </c>
    </row>
    <row r="10" ht="33" customHeight="1">
      <c r="A10" s="35" t="inlineStr">
        <is>
          <t>7. Errors will be corrected by the O/o SE, {{Zone}} Zone  as follows: Where there is a discrepancy between figures and in words, the words will gover.</t>
        </is>
      </c>
    </row>
    <row r="11" ht="29.25" customHeight="1">
      <c r="A11" s="46" t="inlineStr">
        <is>
          <t>Name of work:Arrangement of 51 No.s Computer Operators and 51 No.s Laptops on hire basis for a period of 30 days for carrying out SIR works in Quthbullapur Zone. CMC</t>
        </is>
      </c>
    </row>
    <row r="12" ht="15" customHeight="1">
      <c r="A12" s="38" t="inlineStr">
        <is>
          <t>Estimate Amount: Rs.</t>
        </is>
      </c>
      <c r="C12" s="1" t="n">
        <v>1850000</v>
      </c>
      <c r="D12" s="38" t="n"/>
      <c r="E12" s="38" t="n"/>
      <c r="F12" s="35" t="n"/>
      <c r="G12" s="4">
        <f>C12</f>
        <v/>
      </c>
      <c r="H12" s="4">
        <f>C12-G12</f>
        <v/>
      </c>
    </row>
    <row r="13" ht="15" customHeight="1">
      <c r="A13" s="38" t="inlineStr">
        <is>
          <t>ECV Amount: Rs.</t>
        </is>
      </c>
      <c r="C13" s="1" t="n">
        <v>150000</v>
      </c>
      <c r="D13" s="38" t="n"/>
      <c r="E13" s="38" t="n"/>
      <c r="F13" s="35" t="n"/>
      <c r="G13" s="5">
        <f>C13</f>
        <v/>
      </c>
    </row>
    <row r="14" ht="15" customHeight="1">
      <c r="A14" s="38" t="inlineStr">
        <is>
          <t>Contract Amount: Rs.</t>
        </is>
      </c>
      <c r="C14" s="1" t="n">
        <v>1439730</v>
      </c>
      <c r="D14" s="38" t="n"/>
      <c r="E14" s="38" t="n"/>
      <c r="F14" s="35" t="n"/>
      <c r="G14" s="5" t="n"/>
    </row>
    <row r="15" ht="15" customHeight="1">
      <c r="A15" s="39" t="inlineStr">
        <is>
          <t>Name of the Contractor : Sri. Saikumar Enterprises</t>
        </is>
      </c>
      <c r="F15" s="35" t="n"/>
      <c r="G15" s="5" t="n"/>
    </row>
    <row r="16" ht="29.25" customHeight="1">
      <c r="A16" s="6" t="inlineStr">
        <is>
          <t>Item No.</t>
        </is>
      </c>
      <c r="B16" s="6" t="inlineStr">
        <is>
          <t>Probable Quantity</t>
        </is>
      </c>
      <c r="C16" s="6" t="inlineStr">
        <is>
          <t>Description of item</t>
        </is>
      </c>
      <c r="D16" s="6" t="inlineStr">
        <is>
          <t>Estimated Rate in Rs. &amp; Ps.</t>
        </is>
      </c>
      <c r="E16" s="6" t="inlineStr">
        <is>
          <t>Units</t>
        </is>
      </c>
      <c r="F16" s="6" t="inlineStr">
        <is>
          <t>Estimated Amount in  Rs</t>
        </is>
      </c>
    </row>
    <row r="17">
      <c r="A17" s="7" t="n">
        <v>1</v>
      </c>
      <c r="B17" s="7" t="n">
        <v>2</v>
      </c>
      <c r="C17" s="7" t="n">
        <v>3</v>
      </c>
      <c r="D17" s="7" t="n">
        <v>4</v>
      </c>
      <c r="E17" s="7" t="n">
        <v>5</v>
      </c>
      <c r="F17" s="7" t="n">
        <v>6</v>
      </c>
    </row>
    <row r="18" ht="15.75" customHeight="1">
      <c r="A18" s="8" t="n">
        <v>1</v>
      </c>
      <c r="B18" s="9" t="n">
        <v>1530</v>
      </c>
      <c r="C18" s="28" t="inlineStr">
        <is>
          <t xml:space="preserve">Other Category: Engaging of Computer Operator </t>
        </is>
      </c>
      <c r="D18" s="30" t="n">
        <v>850</v>
      </c>
      <c r="E18" s="31" t="inlineStr">
        <is>
          <t>day</t>
        </is>
      </c>
      <c r="F18" s="10">
        <f>ROUND(B18*D18,0)</f>
        <v/>
      </c>
    </row>
    <row r="19" ht="49.5" customFormat="1" customHeight="1" s="34">
      <c r="A19" s="8" t="n">
        <v>2</v>
      </c>
      <c r="B19" s="9" t="n">
        <v>1530</v>
      </c>
      <c r="C19" s="33" t="inlineStr">
        <is>
          <t>Arrangement of 51 No.s of Laptops on hire basis for a period of 30 days for carrying out administrative works in Malkajgiri Zone.</t>
        </is>
      </c>
      <c r="D19" s="29" t="n">
        <v>150</v>
      </c>
      <c r="E19" s="32" t="inlineStr">
        <is>
          <t>day</t>
        </is>
      </c>
      <c r="F19" s="10">
        <f>ROUND(B19*D19,0)</f>
        <v/>
      </c>
    </row>
    <row r="20">
      <c r="A20" s="11" t="n"/>
      <c r="B20" s="12" t="n"/>
      <c r="D20" s="13" t="n"/>
      <c r="E20" s="14" t="n"/>
      <c r="F20" s="15">
        <f>SUM(F18:F19)</f>
        <v/>
      </c>
    </row>
    <row r="21">
      <c r="A21" s="16" t="n"/>
      <c r="B21" s="17" t="n"/>
      <c r="C21" s="18" t="inlineStr">
        <is>
          <t>Tender Quoted</t>
        </is>
      </c>
      <c r="D21" s="19" t="n">
        <v>5.9</v>
      </c>
      <c r="E21" s="19" t="inlineStr">
        <is>
          <t>%</t>
        </is>
      </c>
      <c r="F21" s="20" t="inlineStr">
        <is>
          <t>Less</t>
        </is>
      </c>
    </row>
    <row r="22" ht="15.75" customHeight="1">
      <c r="A22" s="7" t="inlineStr">
        <is>
          <t xml:space="preserve">                                 In Figures</t>
        </is>
      </c>
      <c r="B22" s="41" t="n"/>
      <c r="C22" s="42" t="n"/>
      <c r="D22" s="56">
        <f>+F20-(F20*D21%)</f>
        <v/>
      </c>
      <c r="E22" s="41" t="n"/>
      <c r="F22" s="42" t="n"/>
    </row>
    <row r="23" ht="15.75" customHeight="1">
      <c r="A23" s="21" t="n"/>
      <c r="B23" s="21" t="n"/>
      <c r="C23" s="22" t="inlineStr">
        <is>
          <t>Excess:                   (        )%</t>
        </is>
      </c>
      <c r="D23" s="21" t="n"/>
      <c r="E23" s="41" t="n"/>
      <c r="F23" s="42" t="n"/>
    </row>
    <row r="24" ht="15.75" customHeight="1">
      <c r="A24" s="21" t="n"/>
      <c r="B24" s="21" t="n"/>
      <c r="C24" s="22" t="inlineStr">
        <is>
          <t>Less:                       ( -5.90 )% Less</t>
        </is>
      </c>
      <c r="D24" s="57" t="n"/>
      <c r="E24" s="41" t="n"/>
      <c r="F24" s="42" t="n"/>
    </row>
    <row r="25">
      <c r="A25" s="23" t="n"/>
      <c r="B25" s="23" t="n"/>
      <c r="C25" s="48" t="n"/>
      <c r="D25" s="25" t="n"/>
      <c r="E25" s="23" t="n"/>
      <c r="F25" s="23" t="n"/>
    </row>
    <row r="26">
      <c r="A26" s="23" t="n"/>
      <c r="B26" s="23" t="n"/>
      <c r="C26" s="48" t="n"/>
      <c r="D26" s="25" t="n"/>
      <c r="E26" s="23" t="n"/>
      <c r="F26" s="23" t="n"/>
    </row>
    <row r="27">
      <c r="A27" s="23" t="n"/>
      <c r="B27" s="23" t="n"/>
      <c r="C27" s="48" t="n"/>
      <c r="D27" s="25" t="n"/>
      <c r="E27" s="23" t="n"/>
      <c r="F27" s="23" t="n"/>
    </row>
    <row r="28">
      <c r="A28" s="26" t="n"/>
      <c r="B28" s="26" t="n"/>
      <c r="C28" s="48" t="n"/>
      <c r="D28" s="49" t="inlineStr">
        <is>
          <t>Superintending Engineer</t>
        </is>
      </c>
    </row>
    <row r="29">
      <c r="A29" s="48" t="inlineStr">
        <is>
          <t>Contractor</t>
        </is>
      </c>
      <c r="C29" s="27" t="n"/>
      <c r="D29" s="49" t="inlineStr">
        <is>
          <t>{{Zone}} Zone, {{Corp}}</t>
        </is>
      </c>
    </row>
  </sheetData>
  <mergeCells count="22">
    <mergeCell ref="A15:E15"/>
    <mergeCell ref="A3:F3"/>
    <mergeCell ref="A2:F2"/>
    <mergeCell ref="D28:F28"/>
    <mergeCell ref="A5:F5"/>
    <mergeCell ref="A22:C22"/>
    <mergeCell ref="A8:F8"/>
    <mergeCell ref="A4:F4"/>
    <mergeCell ref="D24:F24"/>
    <mergeCell ref="A12:B12"/>
    <mergeCell ref="A10:F10"/>
    <mergeCell ref="D29:F29"/>
    <mergeCell ref="D23:F23"/>
    <mergeCell ref="A9:F9"/>
    <mergeCell ref="A14:B14"/>
    <mergeCell ref="A11:F11"/>
    <mergeCell ref="A29:B29"/>
    <mergeCell ref="A1:F1"/>
    <mergeCell ref="D22:F22"/>
    <mergeCell ref="A13:B13"/>
    <mergeCell ref="A6:F6"/>
    <mergeCell ref="A7:F7"/>
  </mergeCells>
  <dataValidations count="1">
    <dataValidation sqref="B18:B19" showDropDown="0" showInputMessage="1" showErrorMessage="1" allowBlank="1" type="decimal" operator="greaterThan">
      <formula1>0</formula1>
    </dataValidation>
  </dataValidations>
  <printOptions horizontalCentered="1"/>
  <pageMargins left="0.38" right="0.2362204724409449" top="0.55" bottom="0.4330708661417323" header="0.2755905511811024" footer="0.1574803149606299"/>
  <pageSetup orientation="portrait" paperSize="9" scale="77" fitToHeight="100"/>
  <rowBreaks count="1" manualBreakCount="1">
    <brk id="31"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Engg-26</dc:creator>
  <dcterms:created xmlns:dcterms="http://purl.org/dc/terms/" xmlns:xsi="http://www.w3.org/2001/XMLSchema-instance" xsi:type="dcterms:W3CDTF">2026-07-13T07:24:41Z</dcterms:created>
  <dcterms:modified xmlns:dcterms="http://purl.org/dc/terms/" xmlns:xsi="http://www.w3.org/2001/XMLSchema-instance" xsi:type="dcterms:W3CDTF">2026-08-13T16:38:36Z</dcterms:modified>
  <cp:lastModifiedBy>Engg-26</cp:lastModifiedBy>
  <cp:lastPrinted>2026-07-16T10:05:14Z</cp:lastPrinted>
</cp:coreProperties>
</file>