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20055" windowHeight="7950"/>
  </bookViews>
  <sheets>
    <sheet name="final (2)" sheetId="4" r:id="rId1"/>
    <sheet name="Sheet1" sheetId="2" r:id="rId2"/>
  </sheets>
  <definedNames>
    <definedName name="_xlnm.Print_Area" localSheetId="0">'final (2)'!$A$1:$M$81</definedName>
  </definedNames>
  <calcPr calcId="124519"/>
</workbook>
</file>

<file path=xl/calcChain.xml><?xml version="1.0" encoding="utf-8"?>
<calcChain xmlns="http://schemas.openxmlformats.org/spreadsheetml/2006/main">
  <c r="J40" i="4"/>
  <c r="J37"/>
  <c r="J36"/>
  <c r="H22"/>
  <c r="H21"/>
  <c r="H15"/>
  <c r="H14"/>
  <c r="H13"/>
  <c r="H12"/>
  <c r="H10"/>
  <c r="H9"/>
  <c r="I33" l="1"/>
  <c r="J33" s="1"/>
  <c r="F33"/>
  <c r="I10"/>
  <c r="J10" s="1"/>
  <c r="I11"/>
  <c r="J11" s="1"/>
  <c r="I12"/>
  <c r="I13"/>
  <c r="J13" s="1"/>
  <c r="I14"/>
  <c r="I15"/>
  <c r="I16"/>
  <c r="J16" s="1"/>
  <c r="I17"/>
  <c r="J17" s="1"/>
  <c r="I18"/>
  <c r="J18" s="1"/>
  <c r="I19"/>
  <c r="J19" s="1"/>
  <c r="I20"/>
  <c r="J20" s="1"/>
  <c r="I21"/>
  <c r="J21" s="1"/>
  <c r="I22"/>
  <c r="J22" s="1"/>
  <c r="I23"/>
  <c r="J23" s="1"/>
  <c r="I24"/>
  <c r="J24" s="1"/>
  <c r="I25"/>
  <c r="J25" s="1"/>
  <c r="I26"/>
  <c r="J26" s="1"/>
  <c r="I27"/>
  <c r="J27" s="1"/>
  <c r="I28"/>
  <c r="J28" s="1"/>
  <c r="I29"/>
  <c r="J29" s="1"/>
  <c r="I30"/>
  <c r="J30" s="1"/>
  <c r="I31"/>
  <c r="J31" s="1"/>
  <c r="I32"/>
  <c r="J32" s="1"/>
  <c r="I9"/>
  <c r="J9" s="1"/>
  <c r="F13"/>
  <c r="E67"/>
  <c r="G52"/>
  <c r="R42"/>
  <c r="Q42"/>
  <c r="F32"/>
  <c r="F31"/>
  <c r="F30"/>
  <c r="F29"/>
  <c r="F28"/>
  <c r="F27"/>
  <c r="F26"/>
  <c r="F25"/>
  <c r="F24"/>
  <c r="F23"/>
  <c r="F22"/>
  <c r="F21"/>
  <c r="F20"/>
  <c r="F17"/>
  <c r="F15"/>
  <c r="F12"/>
  <c r="F11"/>
  <c r="F10"/>
  <c r="F9"/>
  <c r="C6"/>
  <c r="F34" l="1"/>
  <c r="F40" s="1"/>
  <c r="L22"/>
  <c r="L26"/>
  <c r="L30"/>
  <c r="L13"/>
  <c r="L33"/>
  <c r="K33"/>
  <c r="K31"/>
  <c r="K27"/>
  <c r="K23"/>
  <c r="K19"/>
  <c r="K16"/>
  <c r="L17"/>
  <c r="L20"/>
  <c r="L24"/>
  <c r="L28"/>
  <c r="L32"/>
  <c r="L11"/>
  <c r="K29"/>
  <c r="K25"/>
  <c r="K21"/>
  <c r="K18"/>
  <c r="K10"/>
  <c r="K9"/>
  <c r="L25"/>
  <c r="L16"/>
  <c r="L19"/>
  <c r="L23"/>
  <c r="L27"/>
  <c r="L31"/>
  <c r="K32"/>
  <c r="K28"/>
  <c r="K24"/>
  <c r="K20"/>
  <c r="K17"/>
  <c r="K11"/>
  <c r="J15"/>
  <c r="K15" s="1"/>
  <c r="C60"/>
  <c r="F60" s="1"/>
  <c r="L9"/>
  <c r="L21"/>
  <c r="L10"/>
  <c r="J12"/>
  <c r="K12" s="1"/>
  <c r="J14"/>
  <c r="K14" s="1"/>
  <c r="C61"/>
  <c r="D61" s="1"/>
  <c r="K30"/>
  <c r="K26"/>
  <c r="K22"/>
  <c r="K13"/>
  <c r="L18"/>
  <c r="L29"/>
  <c r="S42"/>
  <c r="T42" s="1"/>
  <c r="F41"/>
  <c r="J34" l="1"/>
  <c r="M34" s="1"/>
  <c r="D60"/>
  <c r="D62" s="1"/>
  <c r="D64" s="1"/>
  <c r="H60"/>
  <c r="E60"/>
  <c r="G60"/>
  <c r="I60"/>
  <c r="L12"/>
  <c r="G61"/>
  <c r="J61" s="1"/>
  <c r="F42"/>
  <c r="F43" s="1"/>
  <c r="C51"/>
  <c r="F39"/>
  <c r="L14"/>
  <c r="L15"/>
  <c r="F62"/>
  <c r="F64" s="1"/>
  <c r="K34"/>
  <c r="E62"/>
  <c r="E64" s="1"/>
  <c r="J60" l="1"/>
  <c r="J62" s="1"/>
  <c r="C52"/>
  <c r="C53" s="1"/>
  <c r="M51" s="1"/>
  <c r="L34"/>
  <c r="M35" s="1"/>
  <c r="F45"/>
  <c r="F46" s="1"/>
  <c r="F48" s="1"/>
  <c r="F44"/>
  <c r="K40"/>
  <c r="L40"/>
  <c r="J51"/>
  <c r="L37"/>
  <c r="C65"/>
  <c r="J42" s="1"/>
  <c r="D67"/>
  <c r="F67" s="1"/>
  <c r="F68" s="1"/>
  <c r="J45" s="1"/>
  <c r="J52" l="1"/>
  <c r="J53" s="1"/>
  <c r="M52" s="1"/>
  <c r="M53" s="1"/>
  <c r="M54" s="1"/>
  <c r="J38"/>
  <c r="J41" s="1"/>
  <c r="K48"/>
  <c r="L48"/>
  <c r="K42"/>
  <c r="L42"/>
  <c r="J44"/>
  <c r="J43"/>
  <c r="L45"/>
  <c r="K45"/>
  <c r="K37"/>
  <c r="K41" l="1"/>
  <c r="L41"/>
  <c r="K38"/>
  <c r="L38"/>
  <c r="J39"/>
  <c r="J46" s="1"/>
  <c r="N46" s="1"/>
  <c r="K44"/>
  <c r="L44"/>
  <c r="L43"/>
  <c r="K43"/>
  <c r="K39" l="1"/>
  <c r="K46" s="1"/>
  <c r="L39"/>
  <c r="L46" s="1"/>
  <c r="J47"/>
  <c r="N47" l="1"/>
  <c r="L47"/>
  <c r="L49" s="1"/>
  <c r="K47"/>
  <c r="K49" s="1"/>
  <c r="J49"/>
  <c r="K30" i="2" l="1"/>
  <c r="K27"/>
  <c r="H11" l="1"/>
</calcChain>
</file>

<file path=xl/sharedStrings.xml><?xml version="1.0" encoding="utf-8"?>
<sst xmlns="http://schemas.openxmlformats.org/spreadsheetml/2006/main" count="148" uniqueCount="89">
  <si>
    <t xml:space="preserve">Deviation Statement </t>
  </si>
  <si>
    <t>Name of the work</t>
  </si>
  <si>
    <t xml:space="preserve">Name of the Agency </t>
  </si>
  <si>
    <t>Estimate Amount</t>
  </si>
  <si>
    <t xml:space="preserve"> Lakhs</t>
  </si>
  <si>
    <t>As  per sanctioned estimate</t>
  </si>
  <si>
    <t>As per workdone</t>
  </si>
  <si>
    <t>EXCESS</t>
  </si>
  <si>
    <t>LESS</t>
  </si>
  <si>
    <t xml:space="preserve">Remarks </t>
  </si>
  <si>
    <t>Sl No</t>
  </si>
  <si>
    <t>Description</t>
  </si>
  <si>
    <t>Unit</t>
  </si>
  <si>
    <t>Qty</t>
  </si>
  <si>
    <t>Rate</t>
  </si>
  <si>
    <t>Amount</t>
  </si>
  <si>
    <t>Cum</t>
  </si>
  <si>
    <t>Each</t>
  </si>
  <si>
    <t>Rmt</t>
  </si>
  <si>
    <t xml:space="preserve"> Sub Total:  </t>
  </si>
  <si>
    <t>Price Adjustment</t>
  </si>
  <si>
    <t>Add Labour Cess @ 1%</t>
  </si>
  <si>
    <t>Add NAC @ 0.1%</t>
  </si>
  <si>
    <t>Add Seigniorage Charges@2%</t>
  </si>
  <si>
    <t>Add DMFT @ 30%</t>
  </si>
  <si>
    <t>Add SMET @ 2%</t>
  </si>
  <si>
    <t>Add Permit Fee @ 0.8 times</t>
  </si>
  <si>
    <t>Total</t>
  </si>
  <si>
    <t>Add GST @ 18%</t>
  </si>
  <si>
    <t>Add LS &amp; U/f items</t>
  </si>
  <si>
    <t>TOTAL</t>
  </si>
  <si>
    <t>As per estimate</t>
  </si>
  <si>
    <t>Amount put to tender Rs.</t>
  </si>
  <si>
    <t>Amount of Work Done Rs</t>
  </si>
  <si>
    <t xml:space="preserve">Amount of Contract Rs. </t>
  </si>
  <si>
    <t>Amount of Work Done Rs.</t>
  </si>
  <si>
    <t>Amount of contract Rs.</t>
  </si>
  <si>
    <t>Difference Rs.</t>
  </si>
  <si>
    <t>Less (-)</t>
  </si>
  <si>
    <t>SEIGNORAGE CHARGES</t>
  </si>
  <si>
    <t xml:space="preserve"> </t>
  </si>
  <si>
    <t>ITEM</t>
  </si>
  <si>
    <t>QTY</t>
  </si>
  <si>
    <t>METAL</t>
  </si>
  <si>
    <t>Manufactured sand</t>
  </si>
  <si>
    <t>Ordinary sand</t>
  </si>
  <si>
    <t>Total Seigniorage charges</t>
  </si>
  <si>
    <t>Permit Fee</t>
  </si>
  <si>
    <t>Metal</t>
  </si>
  <si>
    <t>Excess = As per work done Amt - As per sanctioned estimate Amt</t>
  </si>
  <si>
    <t>Wet Mix</t>
  </si>
  <si>
    <t>Engaging of Tractor with Driver and fuel etc.,  complete.5 days a month 8 hr per day</t>
  </si>
  <si>
    <t xml:space="preserve">Groove Cutting of 2-4 mm for 1/3rd depth of concrete slab using concrete groove cutting machine with diamond studded saw within 24 hours of casting of CC pavement </t>
  </si>
  <si>
    <t>Dismantling of existing structures like culverts, bridges, retaining walls and other structure comprising of masonry, cement concrete, wood work, steel work, including T&amp;P and scaffolding wherever necessary, sorting the dismantled material, disposal of unserviceable material and stacking the serviceable material with all lifts and lead of 1000 m as per Technical Specification Clause 202 MORD / MORTH Cement Concrete M15 &amp; M20 BY MECHANICAL MEANS</t>
  </si>
  <si>
    <t>Earth work excavation and depositing on bank for all lifts and with an initial lead of 10m including all operational, incidental, labour charges such as shoring ,sheeting, planking, strutting, etc. complete for finished item of work  excluding dewatering charges etc as per SS - 20 B (APSS 308). Earth work excavation Ordinary Soil-Manual Means-Upto 3 m depth (DATA - SEP 2024)</t>
  </si>
  <si>
    <t xml:space="preserve">Providing, laying, spreading and compacting graded stone aggregate to wet mix macadam specification including premixing the  material with water at OMC in mechanical mixer (Pug Mill), carriage of mixed material by tipper to site, laying  in uniform layers in sub-base/base course on a well prepared sub-base and compacting with smooth  wheel roller of 80 to 100kN / Vibratory Roller 80-100 kN weight to achieve the desired density including lighting, barricading and maintenance of diversion, etc as per Tables 400.11 &amp; 400.12 and Technical Specification Clause 406 MORD / MORTH. </t>
  </si>
  <si>
    <t>Plain Cement concrete Grade M20 - Nominal Mix  hand mixing using cement  including Cost and Conveyance of all materials like Cement Sand Coarse Aggregate Water Etc., to Site,hire charges of macinery , laying Concrete  tamping, lifting, curing, finishing  Complete for finished item of Work.</t>
  </si>
  <si>
    <t xml:space="preserve">Carting of excavated earth with Manually, loading, transportation, unlaoding to an average lead of about 10 KMts, from the circle-25 jurisdition, including the tranport vehicles, cost and conveyance  of all materials and all labour charges but excluding contractor profit and over head charges etc., complete for finished item of work as directed by the GHMC officers. </t>
  </si>
  <si>
    <t xml:space="preserve">Supply and fixing of MS Structural steel Grill to be fixed over catch pits including labour and conveyance cost complete etc., for </t>
  </si>
  <si>
    <t>Fixing charges of Manhole Frame</t>
  </si>
  <si>
    <t xml:space="preserve">Supply and Delivery of Heavy duty rubber Hand gloves including all charges etc., complete </t>
  </si>
  <si>
    <t xml:space="preserve">Supply and Delivery of  Jackets with 2" radium and logo including all charges etc., complete </t>
  </si>
  <si>
    <t xml:space="preserve">Supply and Delivery of Safety Shoes including all charges etc., complete </t>
  </si>
  <si>
    <t xml:space="preserve">Supply and Delivery of road traffic safety Cones including all charges etc., complete </t>
  </si>
  <si>
    <t>Engaging of Unskilled labour(5 daysx3No) As per SSR 2024-25 (Pg no: 14 Item no: III-3)</t>
  </si>
  <si>
    <t>Manufacture as per BIS:12592 (Part 1&amp;2) Supply &amp; Delivery of manhole covers and frames with ISI marking anywhere in T.G., F.O.R. destination including, loading, unloading &amp; stacking at site but excluding central excise duty, sales tax, octroi and other Govt levies etc., as applicable.  I.S.I Mark  24x24 HD 20</t>
  </si>
  <si>
    <t>Hr</t>
  </si>
  <si>
    <t>1 day</t>
  </si>
  <si>
    <t>EACH</t>
  </si>
  <si>
    <t>Kg</t>
  </si>
  <si>
    <t>CUM</t>
  </si>
  <si>
    <t>Pair</t>
  </si>
  <si>
    <t>Add TPQC @ 0.36%</t>
  </si>
  <si>
    <t>ADD 4TH PARTY</t>
  </si>
  <si>
    <t>Supply and Delivery of  Helmet heavy duty</t>
  </si>
  <si>
    <t>Providing safety caution ribbons whereever necessary and emergency as directed by Engineer-in-charge</t>
  </si>
  <si>
    <t>pcc m20</t>
  </si>
  <si>
    <t xml:space="preserve">Maintenance of BT Roads, CC Roads and Storm Water Drains (Catchpit repairs) upto 31.10.2025 in Ward no. 126  Jagathgirigutta in gajularamaram Circle-26, KP Zone, GHMC.
</t>
  </si>
  <si>
    <t>M/s.B.Srinivas</t>
  </si>
  <si>
    <t>AE
CIRCLE-57</t>
  </si>
  <si>
    <t>Dy.EE
CIRCLE-57</t>
  </si>
  <si>
    <t>Executive Engineer
Circle-57,CMC</t>
  </si>
  <si>
    <t>GAJULARAMARAM CIRCLE-57</t>
  </si>
  <si>
    <t>CYBERABD MUNICIPAL CORPORATION</t>
  </si>
  <si>
    <t xml:space="preserve">Supply and fixing of MS Structural steel railing including labour and conveyance cost complete etc., for </t>
  </si>
  <si>
    <t>kg</t>
  </si>
  <si>
    <t>Add QCC@ 0.24%</t>
  </si>
  <si>
    <t>TP (- 25% Less)</t>
  </si>
  <si>
    <t>Tender Percentage (- 25.00% Less)</t>
  </si>
</sst>
</file>

<file path=xl/styles.xml><?xml version="1.0" encoding="utf-8"?>
<styleSheet xmlns="http://schemas.openxmlformats.org/spreadsheetml/2006/main">
  <numFmts count="2">
    <numFmt numFmtId="164" formatCode="0.000"/>
    <numFmt numFmtId="165" formatCode="0.00;[Red]0.00"/>
  </numFmts>
  <fonts count="19">
    <font>
      <sz val="11"/>
      <color theme="1"/>
      <name val="Calibri"/>
      <family val="2"/>
      <scheme val="minor"/>
    </font>
    <font>
      <b/>
      <sz val="16"/>
      <color theme="1"/>
      <name val="Book Antiqua"/>
      <family val="1"/>
    </font>
    <font>
      <sz val="16"/>
      <color theme="1"/>
      <name val="Book Antiqua"/>
      <family val="1"/>
    </font>
    <font>
      <sz val="16"/>
      <name val="Book Antiqua"/>
      <family val="1"/>
    </font>
    <font>
      <sz val="10"/>
      <name val="Arial"/>
      <family val="2"/>
    </font>
    <font>
      <b/>
      <sz val="16"/>
      <name val="Book Antiqua"/>
      <family val="1"/>
    </font>
    <font>
      <sz val="11"/>
      <name val="Book Antiqua"/>
      <family val="1"/>
    </font>
    <font>
      <b/>
      <sz val="11"/>
      <name val="Book Antiqua"/>
      <family val="1"/>
    </font>
    <font>
      <sz val="12"/>
      <name val="Book Antiqua"/>
      <family val="1"/>
    </font>
    <font>
      <b/>
      <sz val="18"/>
      <color theme="1"/>
      <name val="Book Antiqua"/>
      <family val="1"/>
    </font>
    <font>
      <sz val="16"/>
      <color theme="1"/>
      <name val="Calibri"/>
      <family val="2"/>
      <scheme val="minor"/>
    </font>
    <font>
      <sz val="14"/>
      <color theme="1"/>
      <name val="Book Antiqua"/>
      <family val="1"/>
    </font>
    <font>
      <b/>
      <sz val="14"/>
      <color theme="1"/>
      <name val="Book Antiqua"/>
      <family val="1"/>
    </font>
    <font>
      <sz val="14"/>
      <color theme="1"/>
      <name val="Calibri"/>
      <family val="2"/>
      <scheme val="minor"/>
    </font>
    <font>
      <sz val="11"/>
      <color indexed="8"/>
      <name val="Calibri"/>
      <family val="2"/>
    </font>
    <font>
      <sz val="7"/>
      <name val="Arial"/>
      <family val="2"/>
    </font>
    <font>
      <b/>
      <sz val="12"/>
      <name val="Arial"/>
      <family val="2"/>
    </font>
    <font>
      <b/>
      <u/>
      <sz val="16"/>
      <name val="Book Antiqua"/>
      <family val="1"/>
    </font>
    <font>
      <sz val="1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s>
  <cellStyleXfs count="7">
    <xf numFmtId="0" fontId="0"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14" fillId="0" borderId="0"/>
  </cellStyleXfs>
  <cellXfs count="120">
    <xf numFmtId="0" fontId="0" fillId="0" borderId="0" xfId="0"/>
    <xf numFmtId="0" fontId="1" fillId="0" borderId="1" xfId="0" applyFont="1" applyFill="1" applyBorder="1" applyAlignment="1">
      <alignment horizontal="center" vertical="center"/>
    </xf>
    <xf numFmtId="2" fontId="5" fillId="0" borderId="1" xfId="1" applyNumberFormat="1" applyFont="1" applyFill="1" applyBorder="1" applyAlignment="1">
      <alignment horizontal="center" vertical="center" wrapText="1"/>
    </xf>
    <xf numFmtId="2" fontId="3" fillId="0" borderId="1" xfId="1" applyNumberFormat="1" applyFont="1" applyFill="1" applyBorder="1" applyAlignment="1">
      <alignment horizontal="center" vertical="center" wrapText="1"/>
    </xf>
    <xf numFmtId="0" fontId="0" fillId="0" borderId="0" xfId="0" applyFill="1"/>
    <xf numFmtId="0" fontId="1" fillId="0" borderId="0" xfId="0" applyFont="1" applyFill="1" applyBorder="1" applyAlignment="1">
      <alignment horizontal="center"/>
    </xf>
    <xf numFmtId="0" fontId="11" fillId="0" borderId="0" xfId="0" applyFont="1" applyFill="1" applyBorder="1"/>
    <xf numFmtId="0" fontId="12" fillId="0" borderId="0" xfId="0" applyFont="1" applyFill="1" applyAlignment="1">
      <alignment horizontal="center" wrapText="1"/>
    </xf>
    <xf numFmtId="2" fontId="3" fillId="0" borderId="0" xfId="2" applyNumberFormat="1" applyFont="1" applyFill="1" applyBorder="1" applyAlignment="1">
      <alignment horizontal="center" vertical="center" wrapText="1"/>
    </xf>
    <xf numFmtId="0" fontId="18" fillId="0" borderId="0" xfId="0" applyFont="1" applyFill="1"/>
    <xf numFmtId="2" fontId="18" fillId="0" borderId="0" xfId="0" applyNumberFormat="1" applyFont="1" applyFill="1"/>
    <xf numFmtId="2" fontId="3" fillId="0" borderId="1" xfId="0" applyNumberFormat="1" applyFont="1" applyFill="1" applyBorder="1" applyAlignment="1">
      <alignment horizontal="center" vertical="center" wrapText="1"/>
    </xf>
    <xf numFmtId="165" fontId="3" fillId="0" borderId="1" xfId="1" applyNumberFormat="1" applyFont="1" applyFill="1" applyBorder="1" applyAlignment="1">
      <alignment horizontal="center" vertical="center" wrapText="1"/>
    </xf>
    <xf numFmtId="164" fontId="3" fillId="0" borderId="1" xfId="0" applyNumberFormat="1" applyFont="1" applyFill="1" applyBorder="1" applyAlignment="1">
      <alignment horizontal="center" vertical="center" wrapText="1"/>
    </xf>
    <xf numFmtId="2" fontId="3" fillId="0" borderId="4" xfId="6" applyNumberFormat="1" applyFont="1" applyFill="1" applyBorder="1" applyAlignment="1">
      <alignment horizontal="center" vertical="center" wrapText="1"/>
    </xf>
    <xf numFmtId="0" fontId="3" fillId="0" borderId="1" xfId="1" applyFont="1" applyFill="1" applyBorder="1" applyAlignment="1">
      <alignment horizontal="center" vertical="center" wrapText="1"/>
    </xf>
    <xf numFmtId="0" fontId="2" fillId="0" borderId="2" xfId="0" applyFont="1" applyFill="1" applyBorder="1" applyAlignment="1">
      <alignment vertical="top" wrapText="1"/>
    </xf>
    <xf numFmtId="2" fontId="3" fillId="0" borderId="1" xfId="0" applyNumberFormat="1" applyFont="1" applyFill="1" applyBorder="1" applyAlignment="1">
      <alignment horizontal="center" vertical="center" shrinkToFit="1"/>
    </xf>
    <xf numFmtId="2" fontId="2" fillId="0" borderId="1" xfId="0" applyNumberFormat="1" applyFont="1" applyFill="1" applyBorder="1" applyAlignment="1">
      <alignment horizontal="center" vertical="center"/>
    </xf>
    <xf numFmtId="2" fontId="3" fillId="0" borderId="1" xfId="2" applyNumberFormat="1" applyFont="1" applyFill="1" applyBorder="1" applyAlignment="1">
      <alignment horizontal="center" vertical="center" wrapText="1"/>
    </xf>
    <xf numFmtId="2" fontId="3" fillId="0" borderId="1" xfId="2" applyNumberFormat="1" applyFont="1" applyFill="1" applyBorder="1" applyAlignment="1">
      <alignment horizontal="left" vertical="top" wrapText="1"/>
    </xf>
    <xf numFmtId="0" fontId="15" fillId="0" borderId="0" xfId="2" applyFont="1" applyFill="1" applyAlignment="1">
      <alignment horizontal="center" vertical="center" wrapText="1"/>
    </xf>
    <xf numFmtId="0" fontId="3" fillId="0" borderId="2" xfId="6" applyFont="1" applyFill="1" applyBorder="1" applyAlignment="1">
      <alignment vertical="center" wrapText="1"/>
    </xf>
    <xf numFmtId="0" fontId="16" fillId="0" borderId="0" xfId="2" applyFont="1" applyFill="1" applyAlignment="1">
      <alignment horizontal="left" vertical="center" wrapText="1"/>
    </xf>
    <xf numFmtId="0" fontId="2" fillId="0" borderId="1" xfId="0" applyFont="1" applyFill="1" applyBorder="1" applyAlignment="1">
      <alignment horizontal="center" vertical="center"/>
    </xf>
    <xf numFmtId="2" fontId="5" fillId="0" borderId="1" xfId="0" applyNumberFormat="1" applyFont="1" applyFill="1" applyBorder="1" applyAlignment="1">
      <alignment horizontal="center" vertical="center" shrinkToFit="1"/>
    </xf>
    <xf numFmtId="0" fontId="3" fillId="0" borderId="1" xfId="6" applyFont="1" applyFill="1" applyBorder="1" applyAlignment="1">
      <alignment horizontal="center" vertical="center" wrapText="1"/>
    </xf>
    <xf numFmtId="2" fontId="1" fillId="0" borderId="1" xfId="0" applyNumberFormat="1" applyFont="1" applyFill="1" applyBorder="1" applyAlignment="1">
      <alignment horizontal="center" vertical="center"/>
    </xf>
    <xf numFmtId="2" fontId="3" fillId="0" borderId="1" xfId="6" applyNumberFormat="1" applyFont="1" applyFill="1" applyBorder="1" applyAlignment="1">
      <alignment horizontal="center" vertical="center" wrapText="1"/>
    </xf>
    <xf numFmtId="0" fontId="3" fillId="0" borderId="1" xfId="2" applyFont="1" applyFill="1" applyBorder="1" applyAlignment="1">
      <alignment horizontal="center" vertical="center" wrapText="1"/>
    </xf>
    <xf numFmtId="2" fontId="1" fillId="0" borderId="1" xfId="0" applyNumberFormat="1" applyFont="1" applyFill="1" applyBorder="1" applyAlignment="1">
      <alignment horizontal="right" vertical="center"/>
    </xf>
    <xf numFmtId="0" fontId="2" fillId="0" borderId="1" xfId="0" applyFont="1" applyFill="1" applyBorder="1" applyAlignment="1">
      <alignment horizontal="left" vertical="center"/>
    </xf>
    <xf numFmtId="2" fontId="5" fillId="0" borderId="1" xfId="1" applyNumberFormat="1" applyFont="1" applyFill="1" applyBorder="1" applyAlignment="1">
      <alignment horizontal="right" vertical="center" wrapText="1"/>
    </xf>
    <xf numFmtId="0" fontId="5" fillId="0" borderId="1" xfId="1" applyFont="1" applyFill="1" applyBorder="1" applyAlignment="1">
      <alignment horizontal="center" vertical="center" wrapText="1"/>
    </xf>
    <xf numFmtId="2" fontId="5" fillId="0" borderId="1" xfId="2" applyNumberFormat="1" applyFont="1" applyFill="1" applyBorder="1" applyAlignment="1">
      <alignment horizontal="center" vertical="center" wrapText="1"/>
    </xf>
    <xf numFmtId="2" fontId="6" fillId="0" borderId="0" xfId="2" applyNumberFormat="1" applyFont="1" applyFill="1" applyAlignment="1">
      <alignment horizontal="center" vertical="center" wrapText="1"/>
    </xf>
    <xf numFmtId="0" fontId="6" fillId="0" borderId="0" xfId="2" applyFont="1" applyFill="1" applyAlignment="1">
      <alignment horizontal="center" vertical="center" wrapText="1"/>
    </xf>
    <xf numFmtId="0" fontId="5" fillId="0" borderId="1" xfId="2" applyFont="1" applyFill="1" applyBorder="1" applyAlignment="1">
      <alignment horizontal="left" vertical="center" wrapText="1"/>
    </xf>
    <xf numFmtId="2" fontId="5" fillId="0" borderId="1" xfId="3" applyNumberFormat="1" applyFont="1" applyFill="1" applyBorder="1" applyAlignment="1">
      <alignment horizontal="center" vertical="center" wrapText="1"/>
    </xf>
    <xf numFmtId="0" fontId="5" fillId="0" borderId="1" xfId="2" applyFont="1" applyFill="1" applyBorder="1" applyAlignment="1">
      <alignment horizontal="center" vertical="center" wrapText="1"/>
    </xf>
    <xf numFmtId="2" fontId="7" fillId="0" borderId="0" xfId="2" applyNumberFormat="1" applyFont="1" applyFill="1" applyAlignment="1">
      <alignment horizontal="center" vertical="center" wrapText="1"/>
    </xf>
    <xf numFmtId="0" fontId="7" fillId="0" borderId="0" xfId="2" applyFont="1" applyFill="1" applyAlignment="1">
      <alignment horizontal="center" vertical="center" wrapText="1"/>
    </xf>
    <xf numFmtId="0" fontId="6" fillId="0" borderId="0" xfId="3" applyFont="1" applyFill="1" applyAlignment="1">
      <alignment horizontal="center" vertical="center" wrapText="1"/>
    </xf>
    <xf numFmtId="2" fontId="6" fillId="0" borderId="0" xfId="3" applyNumberFormat="1" applyFont="1" applyFill="1" applyAlignment="1">
      <alignment horizontal="center" vertical="center" wrapText="1"/>
    </xf>
    <xf numFmtId="0" fontId="5" fillId="0" borderId="4" xfId="2" applyFont="1" applyFill="1" applyBorder="1" applyAlignment="1">
      <alignment horizontal="center" vertical="center" wrapText="1"/>
    </xf>
    <xf numFmtId="0" fontId="3" fillId="0" borderId="1" xfId="2" applyFont="1" applyFill="1" applyBorder="1" applyAlignment="1">
      <alignment horizontal="right" vertical="center" wrapText="1"/>
    </xf>
    <xf numFmtId="2" fontId="8" fillId="0" borderId="0" xfId="3" applyNumberFormat="1" applyFont="1" applyFill="1" applyAlignment="1">
      <alignment horizontal="center" vertical="center" wrapText="1"/>
    </xf>
    <xf numFmtId="0" fontId="8" fillId="0" borderId="0" xfId="3" applyFont="1" applyFill="1" applyAlignment="1">
      <alignment horizontal="center" vertical="center" wrapText="1"/>
    </xf>
    <xf numFmtId="2" fontId="2" fillId="0" borderId="1" xfId="0" applyNumberFormat="1" applyFont="1" applyFill="1" applyBorder="1" applyAlignment="1">
      <alignment horizontal="right" vertical="center"/>
    </xf>
    <xf numFmtId="2" fontId="5" fillId="0" borderId="2" xfId="1" applyNumberFormat="1" applyFont="1" applyFill="1" applyBorder="1" applyAlignment="1">
      <alignment horizontal="center" vertical="center" wrapText="1"/>
    </xf>
    <xf numFmtId="2" fontId="2" fillId="0" borderId="2" xfId="0" applyNumberFormat="1" applyFont="1" applyFill="1" applyBorder="1" applyAlignment="1">
      <alignment horizontal="center" vertical="center"/>
    </xf>
    <xf numFmtId="3" fontId="8" fillId="0" borderId="0" xfId="3" applyNumberFormat="1" applyFont="1" applyFill="1" applyAlignment="1">
      <alignment horizontal="center" vertical="center" wrapText="1"/>
    </xf>
    <xf numFmtId="2" fontId="3" fillId="0" borderId="2" xfId="1" applyNumberFormat="1" applyFont="1" applyFill="1" applyBorder="1" applyAlignment="1">
      <alignment horizontal="center" vertical="center" wrapText="1"/>
    </xf>
    <xf numFmtId="0" fontId="17" fillId="0" borderId="1" xfId="2" applyFont="1" applyFill="1" applyBorder="1" applyAlignment="1">
      <alignment horizontal="center" vertical="center" wrapText="1"/>
    </xf>
    <xf numFmtId="2" fontId="3" fillId="0" borderId="4" xfId="2" applyNumberFormat="1" applyFont="1" applyFill="1" applyBorder="1" applyAlignment="1">
      <alignment horizontal="center" vertical="center" wrapText="1"/>
    </xf>
    <xf numFmtId="10" fontId="5" fillId="0" borderId="1" xfId="4" applyNumberFormat="1" applyFont="1" applyFill="1" applyBorder="1" applyAlignment="1">
      <alignment horizontal="center" vertical="center" wrapText="1"/>
    </xf>
    <xf numFmtId="0" fontId="3" fillId="0" borderId="0" xfId="2" applyFont="1" applyFill="1" applyAlignment="1">
      <alignment horizontal="center" vertical="center" wrapText="1"/>
    </xf>
    <xf numFmtId="0" fontId="17" fillId="0" borderId="0" xfId="2" applyFont="1" applyFill="1" applyBorder="1" applyAlignment="1">
      <alignment horizontal="center" vertical="center" wrapText="1"/>
    </xf>
    <xf numFmtId="0" fontId="5" fillId="0" borderId="0" xfId="2" applyFont="1" applyFill="1" applyBorder="1" applyAlignment="1">
      <alignment horizontal="center" vertical="center" wrapText="1"/>
    </xf>
    <xf numFmtId="10" fontId="5" fillId="0" borderId="0" xfId="4" applyNumberFormat="1" applyFont="1" applyFill="1" applyBorder="1" applyAlignment="1">
      <alignment horizontal="center" vertical="center" wrapText="1"/>
    </xf>
    <xf numFmtId="0" fontId="3" fillId="0" borderId="0" xfId="2" applyFont="1" applyFill="1" applyBorder="1" applyAlignment="1">
      <alignment horizontal="center" vertical="center" wrapText="1"/>
    </xf>
    <xf numFmtId="0" fontId="8" fillId="0" borderId="0" xfId="3" applyFont="1" applyFill="1" applyBorder="1" applyAlignment="1">
      <alignment horizontal="center" vertical="center" wrapText="1"/>
    </xf>
    <xf numFmtId="0" fontId="1" fillId="0" borderId="5" xfId="0" applyFont="1" applyFill="1" applyBorder="1" applyAlignment="1">
      <alignment horizontal="center" vertical="center"/>
    </xf>
    <xf numFmtId="0" fontId="1" fillId="0" borderId="5" xfId="0" applyFont="1" applyFill="1" applyBorder="1" applyAlignment="1">
      <alignment horizontal="center" vertical="center" wrapText="1"/>
    </xf>
    <xf numFmtId="0" fontId="18" fillId="0" borderId="0" xfId="0" applyFont="1" applyFill="1" applyBorder="1"/>
    <xf numFmtId="2" fontId="0" fillId="0" borderId="0" xfId="0" applyNumberFormat="1" applyFill="1"/>
    <xf numFmtId="164" fontId="2" fillId="0" borderId="1" xfId="0" applyNumberFormat="1" applyFont="1" applyFill="1" applyBorder="1" applyAlignment="1">
      <alignment horizontal="center" vertical="center"/>
    </xf>
    <xf numFmtId="0" fontId="10" fillId="0" borderId="1" xfId="0" applyFont="1" applyFill="1" applyBorder="1"/>
    <xf numFmtId="1" fontId="2" fillId="0" borderId="1" xfId="0" applyNumberFormat="1" applyFont="1" applyFill="1" applyBorder="1" applyAlignment="1">
      <alignment horizontal="center" vertical="center"/>
    </xf>
    <xf numFmtId="1" fontId="1" fillId="0" borderId="1" xfId="0" applyNumberFormat="1" applyFont="1" applyFill="1" applyBorder="1" applyAlignment="1">
      <alignment horizontal="center" vertical="center"/>
    </xf>
    <xf numFmtId="0" fontId="1" fillId="0" borderId="1" xfId="0" applyFont="1" applyFill="1" applyBorder="1" applyAlignment="1">
      <alignment horizontal="center"/>
    </xf>
    <xf numFmtId="1" fontId="2" fillId="0" borderId="1" xfId="0" applyNumberFormat="1" applyFont="1" applyFill="1" applyBorder="1" applyAlignment="1">
      <alignment horizontal="center"/>
    </xf>
    <xf numFmtId="0" fontId="0" fillId="0" borderId="1" xfId="0" applyFill="1" applyBorder="1"/>
    <xf numFmtId="1" fontId="1" fillId="0" borderId="1" xfId="0" applyNumberFormat="1" applyFont="1" applyFill="1" applyBorder="1" applyAlignment="1">
      <alignment horizontal="center"/>
    </xf>
    <xf numFmtId="1" fontId="12" fillId="0" borderId="0" xfId="0" applyNumberFormat="1" applyFont="1" applyFill="1" applyBorder="1"/>
    <xf numFmtId="0" fontId="13" fillId="0" borderId="0" xfId="0" applyFont="1" applyFill="1"/>
    <xf numFmtId="0" fontId="2" fillId="0" borderId="6" xfId="0" applyFont="1" applyFill="1" applyBorder="1" applyAlignment="1">
      <alignment horizontal="center" vertical="center"/>
    </xf>
    <xf numFmtId="0" fontId="2" fillId="0" borderId="7" xfId="0" applyFont="1" applyFill="1" applyBorder="1" applyAlignment="1">
      <alignment horizontal="center" vertical="center"/>
    </xf>
    <xf numFmtId="0" fontId="2" fillId="0" borderId="8" xfId="0" applyFont="1" applyFill="1" applyBorder="1" applyAlignment="1">
      <alignment horizontal="center" vertical="center"/>
    </xf>
    <xf numFmtId="0" fontId="2" fillId="0" borderId="9" xfId="0" applyFont="1" applyFill="1" applyBorder="1" applyAlignment="1">
      <alignment horizontal="center" vertical="center"/>
    </xf>
    <xf numFmtId="1" fontId="1" fillId="0" borderId="1" xfId="0" applyNumberFormat="1" applyFont="1" applyFill="1" applyBorder="1" applyAlignment="1">
      <alignment horizontal="center" vertical="center"/>
    </xf>
    <xf numFmtId="0" fontId="1" fillId="0" borderId="2" xfId="0" applyFont="1" applyFill="1" applyBorder="1" applyAlignment="1">
      <alignment horizontal="center" vertical="center"/>
    </xf>
    <xf numFmtId="0" fontId="1" fillId="0" borderId="4" xfId="0" applyFont="1" applyFill="1" applyBorder="1" applyAlignment="1">
      <alignment horizontal="center" vertical="center"/>
    </xf>
    <xf numFmtId="0" fontId="12" fillId="0" borderId="0" xfId="0" applyFont="1" applyFill="1" applyAlignment="1">
      <alignment horizontal="center" wrapText="1"/>
    </xf>
    <xf numFmtId="0" fontId="9" fillId="0" borderId="2" xfId="0" applyFont="1" applyFill="1" applyBorder="1" applyAlignment="1">
      <alignment horizontal="center" vertical="center"/>
    </xf>
    <xf numFmtId="0" fontId="9" fillId="0" borderId="3" xfId="0" applyFont="1" applyFill="1" applyBorder="1" applyAlignment="1">
      <alignment horizontal="center" vertical="center"/>
    </xf>
    <xf numFmtId="0" fontId="9" fillId="0" borderId="4" xfId="0" applyFont="1" applyFill="1" applyBorder="1" applyAlignment="1">
      <alignment horizontal="center" vertical="center"/>
    </xf>
    <xf numFmtId="2" fontId="3" fillId="0" borderId="1" xfId="1" applyNumberFormat="1" applyFont="1" applyFill="1" applyBorder="1" applyAlignment="1">
      <alignment horizontal="right" vertical="center" wrapText="1"/>
    </xf>
    <xf numFmtId="2" fontId="5" fillId="0" borderId="1" xfId="1" applyNumberFormat="1" applyFont="1" applyFill="1" applyBorder="1" applyAlignment="1">
      <alignment horizontal="right" vertical="center" wrapText="1"/>
    </xf>
    <xf numFmtId="2" fontId="3" fillId="0" borderId="1" xfId="2" applyNumberFormat="1" applyFont="1" applyFill="1" applyBorder="1" applyAlignment="1">
      <alignment horizontal="center" vertical="center" wrapText="1"/>
    </xf>
    <xf numFmtId="0" fontId="5" fillId="0" borderId="2" xfId="2" applyFont="1" applyFill="1" applyBorder="1" applyAlignment="1">
      <alignment horizontal="center" vertical="center" wrapText="1"/>
    </xf>
    <xf numFmtId="0" fontId="5" fillId="0" borderId="3" xfId="2" applyFont="1" applyFill="1" applyBorder="1" applyAlignment="1">
      <alignment horizontal="center" vertical="center" wrapText="1"/>
    </xf>
    <xf numFmtId="0" fontId="5" fillId="0" borderId="4" xfId="2" applyFont="1" applyFill="1" applyBorder="1" applyAlignment="1">
      <alignment horizontal="center" vertical="center" wrapText="1"/>
    </xf>
    <xf numFmtId="2" fontId="5" fillId="0" borderId="2" xfId="1" applyNumberFormat="1" applyFont="1" applyFill="1" applyBorder="1" applyAlignment="1">
      <alignment horizontal="center" vertical="center" wrapText="1"/>
    </xf>
    <xf numFmtId="2" fontId="5" fillId="0" borderId="3" xfId="1" applyNumberFormat="1" applyFont="1" applyFill="1" applyBorder="1" applyAlignment="1">
      <alignment horizontal="center" vertical="center" wrapText="1"/>
    </xf>
    <xf numFmtId="2" fontId="5" fillId="0" borderId="4" xfId="1" applyNumberFormat="1" applyFont="1" applyFill="1" applyBorder="1" applyAlignment="1">
      <alignment horizontal="center" vertical="center" wrapText="1"/>
    </xf>
    <xf numFmtId="2" fontId="2" fillId="0" borderId="2" xfId="0" applyNumberFormat="1" applyFont="1" applyFill="1" applyBorder="1" applyAlignment="1">
      <alignment horizontal="center" vertical="center"/>
    </xf>
    <xf numFmtId="2" fontId="2" fillId="0" borderId="3" xfId="0" applyNumberFormat="1" applyFont="1" applyFill="1" applyBorder="1" applyAlignment="1">
      <alignment horizontal="center" vertical="center"/>
    </xf>
    <xf numFmtId="2" fontId="2" fillId="0" borderId="4" xfId="0" applyNumberFormat="1" applyFont="1" applyFill="1" applyBorder="1" applyAlignment="1">
      <alignment horizontal="center" vertical="center"/>
    </xf>
    <xf numFmtId="2" fontId="3" fillId="0" borderId="2" xfId="1" applyNumberFormat="1" applyFont="1" applyFill="1" applyBorder="1" applyAlignment="1">
      <alignment horizontal="center" vertical="center" wrapText="1"/>
    </xf>
    <xf numFmtId="2" fontId="3" fillId="0" borderId="3" xfId="1" applyNumberFormat="1" applyFont="1" applyFill="1" applyBorder="1" applyAlignment="1">
      <alignment horizontal="center" vertical="center" wrapText="1"/>
    </xf>
    <xf numFmtId="2" fontId="3" fillId="0" borderId="4" xfId="1" applyNumberFormat="1" applyFont="1" applyFill="1" applyBorder="1" applyAlignment="1">
      <alignment horizontal="center" vertical="center" wrapText="1"/>
    </xf>
    <xf numFmtId="2" fontId="3" fillId="0" borderId="2" xfId="2" applyNumberFormat="1" applyFont="1" applyFill="1" applyBorder="1" applyAlignment="1">
      <alignment horizontal="center" vertical="center" wrapText="1"/>
    </xf>
    <xf numFmtId="2" fontId="3" fillId="0" borderId="3" xfId="2" applyNumberFormat="1" applyFont="1" applyFill="1" applyBorder="1" applyAlignment="1">
      <alignment horizontal="center" vertical="center" wrapText="1"/>
    </xf>
    <xf numFmtId="2" fontId="3" fillId="0" borderId="4" xfId="2" applyNumberFormat="1" applyFont="1" applyFill="1" applyBorder="1" applyAlignment="1">
      <alignment horizontal="center" vertical="center" wrapText="1"/>
    </xf>
    <xf numFmtId="0" fontId="16" fillId="0" borderId="0" xfId="2" applyFont="1" applyFill="1" applyAlignment="1">
      <alignment horizontal="left" vertical="center" wrapText="1"/>
    </xf>
    <xf numFmtId="0" fontId="5" fillId="0" borderId="1" xfId="2" applyFont="1" applyFill="1" applyBorder="1" applyAlignment="1">
      <alignment horizontal="center" vertical="center" wrapText="1"/>
    </xf>
    <xf numFmtId="2" fontId="1" fillId="0" borderId="1" xfId="0" applyNumberFormat="1" applyFont="1" applyFill="1" applyBorder="1" applyAlignment="1">
      <alignment horizontal="center" vertical="center" wrapText="1"/>
    </xf>
    <xf numFmtId="0" fontId="1" fillId="0" borderId="1" xfId="0" applyFont="1" applyFill="1" applyBorder="1" applyAlignment="1">
      <alignment horizontal="left" vertical="center"/>
    </xf>
    <xf numFmtId="2" fontId="2" fillId="0" borderId="2" xfId="0" applyNumberFormat="1" applyFont="1" applyFill="1" applyBorder="1" applyAlignment="1">
      <alignment horizontal="left" vertical="top" wrapText="1"/>
    </xf>
    <xf numFmtId="2" fontId="2" fillId="0" borderId="3" xfId="0" applyNumberFormat="1" applyFont="1" applyFill="1" applyBorder="1" applyAlignment="1">
      <alignment horizontal="left" vertical="top" wrapText="1"/>
    </xf>
    <xf numFmtId="2" fontId="2" fillId="0" borderId="4" xfId="0" applyNumberFormat="1" applyFont="1" applyFill="1" applyBorder="1" applyAlignment="1">
      <alignment horizontal="left" vertical="top" wrapText="1"/>
    </xf>
    <xf numFmtId="2" fontId="2" fillId="0" borderId="2" xfId="0" applyNumberFormat="1" applyFont="1" applyFill="1" applyBorder="1" applyAlignment="1">
      <alignment horizontal="left" vertical="center" wrapText="1"/>
    </xf>
    <xf numFmtId="2" fontId="2" fillId="0" borderId="3" xfId="0" applyNumberFormat="1" applyFont="1" applyFill="1" applyBorder="1" applyAlignment="1">
      <alignment horizontal="left" vertical="center" wrapText="1"/>
    </xf>
    <xf numFmtId="2" fontId="2" fillId="0" borderId="4" xfId="0" applyNumberFormat="1" applyFont="1" applyFill="1" applyBorder="1" applyAlignment="1">
      <alignment horizontal="left" vertical="center" wrapText="1"/>
    </xf>
    <xf numFmtId="2" fontId="1" fillId="0" borderId="2" xfId="0" applyNumberFormat="1" applyFont="1" applyFill="1" applyBorder="1" applyAlignment="1">
      <alignment horizontal="left"/>
    </xf>
    <xf numFmtId="2" fontId="1" fillId="0" borderId="4" xfId="0" applyNumberFormat="1" applyFont="1" applyFill="1" applyBorder="1" applyAlignment="1">
      <alignment horizontal="left"/>
    </xf>
    <xf numFmtId="0" fontId="1" fillId="0" borderId="2" xfId="0" applyFont="1" applyFill="1" applyBorder="1" applyAlignment="1">
      <alignment horizontal="left"/>
    </xf>
    <xf numFmtId="0" fontId="1" fillId="0" borderId="3" xfId="0" applyFont="1" applyFill="1" applyBorder="1" applyAlignment="1">
      <alignment horizontal="left"/>
    </xf>
    <xf numFmtId="0" fontId="1" fillId="0" borderId="1" xfId="0" applyFont="1" applyFill="1" applyBorder="1" applyAlignment="1">
      <alignment horizontal="center" vertical="center"/>
    </xf>
  </cellXfs>
  <cellStyles count="7">
    <cellStyle name="Normal" xfId="0" builtinId="0"/>
    <cellStyle name="Normal 10" xfId="2"/>
    <cellStyle name="Normal 2" xfId="5"/>
    <cellStyle name="Normal 3_CC Road Chirec" xfId="6"/>
    <cellStyle name="Normal 6" xfId="1"/>
    <cellStyle name="Normal_Deviation Proforma" xfId="3"/>
    <cellStyle name="Percent 2" xfId="4"/>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V81"/>
  <sheetViews>
    <sheetView tabSelected="1" view="pageBreakPreview" topLeftCell="A40" zoomScale="60" zoomScaleNormal="80" workbookViewId="0">
      <selection activeCell="C56" sqref="C56"/>
    </sheetView>
  </sheetViews>
  <sheetFormatPr defaultRowHeight="15"/>
  <cols>
    <col min="1" max="1" width="9.140625" style="4"/>
    <col min="2" max="2" width="79.7109375" style="4" customWidth="1"/>
    <col min="3" max="3" width="19.42578125" style="4" customWidth="1"/>
    <col min="4" max="5" width="16.5703125" style="4" customWidth="1"/>
    <col min="6" max="7" width="18.7109375" style="4" customWidth="1"/>
    <col min="8" max="8" width="16.140625" style="4" customWidth="1"/>
    <col min="9" max="9" width="15.140625" style="4" customWidth="1"/>
    <col min="10" max="11" width="19" style="4" customWidth="1"/>
    <col min="12" max="12" width="22.5703125" style="4" customWidth="1"/>
    <col min="13" max="13" width="33.7109375" style="4" customWidth="1"/>
    <col min="14" max="14" width="23.7109375" style="4" customWidth="1"/>
    <col min="15" max="16384" width="9.140625" style="4"/>
  </cols>
  <sheetData>
    <row r="1" spans="1:22" ht="26.25" customHeight="1">
      <c r="A1" s="107" t="s">
        <v>83</v>
      </c>
      <c r="B1" s="107"/>
      <c r="C1" s="107"/>
      <c r="D1" s="107"/>
      <c r="E1" s="107"/>
      <c r="F1" s="107"/>
      <c r="G1" s="107"/>
      <c r="H1" s="107"/>
      <c r="I1" s="107"/>
      <c r="J1" s="107"/>
      <c r="K1" s="107"/>
      <c r="L1" s="107"/>
      <c r="M1" s="107"/>
    </row>
    <row r="2" spans="1:22" ht="20.25" customHeight="1">
      <c r="A2" s="107" t="s">
        <v>82</v>
      </c>
      <c r="B2" s="107"/>
      <c r="C2" s="107"/>
      <c r="D2" s="107"/>
      <c r="E2" s="107"/>
      <c r="F2" s="107"/>
      <c r="G2" s="107"/>
      <c r="H2" s="107"/>
      <c r="I2" s="107"/>
      <c r="J2" s="107"/>
      <c r="K2" s="107"/>
      <c r="L2" s="107"/>
      <c r="M2" s="107"/>
    </row>
    <row r="3" spans="1:22" ht="28.5" customHeight="1">
      <c r="A3" s="107" t="s">
        <v>0</v>
      </c>
      <c r="B3" s="107"/>
      <c r="C3" s="107"/>
      <c r="D3" s="107"/>
      <c r="E3" s="107"/>
      <c r="F3" s="107"/>
      <c r="G3" s="107"/>
      <c r="H3" s="107"/>
      <c r="I3" s="107"/>
      <c r="J3" s="107"/>
      <c r="K3" s="107"/>
      <c r="L3" s="107"/>
      <c r="M3" s="107"/>
    </row>
    <row r="4" spans="1:22" ht="42.75" customHeight="1">
      <c r="A4" s="108" t="s">
        <v>1</v>
      </c>
      <c r="B4" s="108"/>
      <c r="C4" s="109" t="s">
        <v>77</v>
      </c>
      <c r="D4" s="110"/>
      <c r="E4" s="110"/>
      <c r="F4" s="110"/>
      <c r="G4" s="110"/>
      <c r="H4" s="110"/>
      <c r="I4" s="110"/>
      <c r="J4" s="110"/>
      <c r="K4" s="110"/>
      <c r="L4" s="110"/>
      <c r="M4" s="111"/>
    </row>
    <row r="5" spans="1:22" ht="24.75" customHeight="1">
      <c r="A5" s="108" t="s">
        <v>2</v>
      </c>
      <c r="B5" s="108"/>
      <c r="C5" s="112" t="s">
        <v>78</v>
      </c>
      <c r="D5" s="113"/>
      <c r="E5" s="113"/>
      <c r="F5" s="113"/>
      <c r="G5" s="113"/>
      <c r="H5" s="113"/>
      <c r="I5" s="113"/>
      <c r="J5" s="113"/>
      <c r="K5" s="113"/>
      <c r="L5" s="113"/>
      <c r="M5" s="114"/>
    </row>
    <row r="6" spans="1:22" ht="21" customHeight="1">
      <c r="A6" s="108" t="s">
        <v>3</v>
      </c>
      <c r="B6" s="108"/>
      <c r="C6" s="115">
        <f>F49/100000</f>
        <v>8</v>
      </c>
      <c r="D6" s="116"/>
      <c r="E6" s="117" t="s">
        <v>4</v>
      </c>
      <c r="F6" s="118"/>
      <c r="G6" s="118"/>
      <c r="H6" s="118"/>
      <c r="I6" s="118"/>
      <c r="J6" s="118"/>
      <c r="K6" s="118"/>
      <c r="L6" s="118"/>
      <c r="M6" s="118"/>
    </row>
    <row r="7" spans="1:22" ht="39" customHeight="1">
      <c r="A7" s="1"/>
      <c r="B7" s="1"/>
      <c r="C7" s="1"/>
      <c r="D7" s="119" t="s">
        <v>5</v>
      </c>
      <c r="E7" s="119"/>
      <c r="F7" s="119"/>
      <c r="G7" s="1"/>
      <c r="H7" s="119" t="s">
        <v>6</v>
      </c>
      <c r="I7" s="119"/>
      <c r="J7" s="119"/>
      <c r="K7" s="1" t="s">
        <v>7</v>
      </c>
      <c r="L7" s="1" t="s">
        <v>8</v>
      </c>
      <c r="M7" s="1" t="s">
        <v>9</v>
      </c>
    </row>
    <row r="8" spans="1:22" ht="20.25">
      <c r="A8" s="1" t="s">
        <v>10</v>
      </c>
      <c r="B8" s="1" t="s">
        <v>11</v>
      </c>
      <c r="C8" s="1" t="s">
        <v>12</v>
      </c>
      <c r="D8" s="1" t="s">
        <v>13</v>
      </c>
      <c r="E8" s="1" t="s">
        <v>14</v>
      </c>
      <c r="F8" s="1" t="s">
        <v>15</v>
      </c>
      <c r="G8" s="1" t="s">
        <v>12</v>
      </c>
      <c r="H8" s="1" t="s">
        <v>13</v>
      </c>
      <c r="I8" s="1" t="s">
        <v>14</v>
      </c>
      <c r="J8" s="1" t="s">
        <v>15</v>
      </c>
      <c r="K8" s="1"/>
      <c r="L8" s="1"/>
      <c r="M8" s="1"/>
    </row>
    <row r="9" spans="1:22" s="21" customFormat="1" ht="42">
      <c r="A9" s="15">
        <v>1</v>
      </c>
      <c r="B9" s="16" t="s">
        <v>51</v>
      </c>
      <c r="C9" s="17" t="s">
        <v>66</v>
      </c>
      <c r="D9" s="17">
        <v>200</v>
      </c>
      <c r="E9" s="18">
        <v>512</v>
      </c>
      <c r="F9" s="12">
        <f>ROUND(D9*E9,0)</f>
        <v>102400</v>
      </c>
      <c r="G9" s="17" t="s">
        <v>66</v>
      </c>
      <c r="H9" s="11">
        <f>112+112+112+112</f>
        <v>448</v>
      </c>
      <c r="I9" s="18">
        <f>E9</f>
        <v>512</v>
      </c>
      <c r="J9" s="12">
        <f>ROUND(H9*I9,2)</f>
        <v>229376</v>
      </c>
      <c r="K9" s="19">
        <f>IF(J9&gt;F9,J9-F9,0)</f>
        <v>126976</v>
      </c>
      <c r="L9" s="19">
        <f>IF(F9&gt;J9,F9-J9,0)</f>
        <v>0</v>
      </c>
      <c r="M9" s="20"/>
      <c r="S9" s="105" t="s">
        <v>49</v>
      </c>
      <c r="T9" s="105"/>
      <c r="U9" s="105"/>
      <c r="V9" s="105"/>
    </row>
    <row r="10" spans="1:22" s="21" customFormat="1" ht="42">
      <c r="A10" s="15">
        <v>2</v>
      </c>
      <c r="B10" s="16" t="s">
        <v>64</v>
      </c>
      <c r="C10" s="17" t="s">
        <v>67</v>
      </c>
      <c r="D10" s="17">
        <v>75</v>
      </c>
      <c r="E10" s="18">
        <v>805</v>
      </c>
      <c r="F10" s="12">
        <f>ROUND(D10*E10,0)</f>
        <v>60375</v>
      </c>
      <c r="G10" s="17" t="s">
        <v>67</v>
      </c>
      <c r="H10" s="11">
        <f>42+42+42+42</f>
        <v>168</v>
      </c>
      <c r="I10" s="18">
        <f t="shared" ref="I10:I32" si="0">E10</f>
        <v>805</v>
      </c>
      <c r="J10" s="12">
        <f t="shared" ref="J10:J32" si="1">ROUND(H10*I10,2)</f>
        <v>135240</v>
      </c>
      <c r="K10" s="19">
        <f t="shared" ref="K10:K33" si="2">IF(J10&gt;F10,J10-F10,0)</f>
        <v>74865</v>
      </c>
      <c r="L10" s="19">
        <f t="shared" ref="L10:L33" si="3">IF(F10&gt;J10,F10-J10,0)</f>
        <v>0</v>
      </c>
      <c r="M10" s="20"/>
      <c r="S10" s="105" t="s">
        <v>49</v>
      </c>
      <c r="T10" s="105"/>
      <c r="U10" s="105"/>
      <c r="V10" s="105"/>
    </row>
    <row r="11" spans="1:22" s="21" customFormat="1" ht="84">
      <c r="A11" s="15">
        <v>3</v>
      </c>
      <c r="B11" s="22" t="s">
        <v>52</v>
      </c>
      <c r="C11" s="17" t="s">
        <v>18</v>
      </c>
      <c r="D11" s="14">
        <v>400</v>
      </c>
      <c r="E11" s="18">
        <v>60</v>
      </c>
      <c r="F11" s="12">
        <f t="shared" ref="F11:F17" si="4">ROUND(D11*E11,0)</f>
        <v>24000</v>
      </c>
      <c r="G11" s="17" t="s">
        <v>18</v>
      </c>
      <c r="H11" s="14">
        <v>0</v>
      </c>
      <c r="I11" s="18">
        <f t="shared" si="0"/>
        <v>60</v>
      </c>
      <c r="J11" s="12">
        <f t="shared" si="1"/>
        <v>0</v>
      </c>
      <c r="K11" s="19">
        <f t="shared" si="2"/>
        <v>0</v>
      </c>
      <c r="L11" s="19">
        <f t="shared" si="3"/>
        <v>24000</v>
      </c>
      <c r="M11" s="20"/>
      <c r="S11" s="23"/>
      <c r="T11" s="23"/>
      <c r="U11" s="23"/>
      <c r="V11" s="23"/>
    </row>
    <row r="12" spans="1:22" s="21" customFormat="1" ht="189">
      <c r="A12" s="15">
        <v>4</v>
      </c>
      <c r="B12" s="16" t="s">
        <v>53</v>
      </c>
      <c r="C12" s="24" t="s">
        <v>16</v>
      </c>
      <c r="D12" s="17">
        <v>7.5</v>
      </c>
      <c r="E12" s="18">
        <v>1109.8599999999999</v>
      </c>
      <c r="F12" s="12">
        <f>ROUND(D12*E12,0)</f>
        <v>8324</v>
      </c>
      <c r="G12" s="24" t="s">
        <v>16</v>
      </c>
      <c r="H12" s="11">
        <f>4.025+3.435+2.91+1.64</f>
        <v>12.010000000000002</v>
      </c>
      <c r="I12" s="18">
        <f t="shared" si="0"/>
        <v>1109.8599999999999</v>
      </c>
      <c r="J12" s="12">
        <f t="shared" si="1"/>
        <v>13329.42</v>
      </c>
      <c r="K12" s="19">
        <f t="shared" si="2"/>
        <v>5005.42</v>
      </c>
      <c r="L12" s="19">
        <f t="shared" si="3"/>
        <v>0</v>
      </c>
      <c r="M12" s="20"/>
      <c r="S12" s="23"/>
      <c r="T12" s="23"/>
      <c r="U12" s="23"/>
      <c r="V12" s="23"/>
    </row>
    <row r="13" spans="1:22" s="21" customFormat="1" ht="147">
      <c r="A13" s="15">
        <v>5</v>
      </c>
      <c r="B13" s="16" t="s">
        <v>54</v>
      </c>
      <c r="C13" s="24" t="s">
        <v>16</v>
      </c>
      <c r="D13" s="17">
        <v>15</v>
      </c>
      <c r="E13" s="18">
        <v>293.02</v>
      </c>
      <c r="F13" s="12">
        <f>ROUND(D13*E13,0)</f>
        <v>4395</v>
      </c>
      <c r="G13" s="17" t="s">
        <v>16</v>
      </c>
      <c r="H13" s="13">
        <f>8.05+6.87+5.82+3.28</f>
        <v>24.020000000000003</v>
      </c>
      <c r="I13" s="18">
        <f t="shared" si="0"/>
        <v>293.02</v>
      </c>
      <c r="J13" s="12">
        <f t="shared" si="1"/>
        <v>7038.34</v>
      </c>
      <c r="K13" s="19">
        <f t="shared" si="2"/>
        <v>2643.34</v>
      </c>
      <c r="L13" s="19">
        <f t="shared" si="3"/>
        <v>0</v>
      </c>
      <c r="M13" s="20"/>
      <c r="S13" s="23"/>
      <c r="T13" s="23"/>
      <c r="U13" s="23"/>
      <c r="V13" s="23"/>
    </row>
    <row r="14" spans="1:22" s="21" customFormat="1" ht="231">
      <c r="A14" s="15">
        <v>6</v>
      </c>
      <c r="B14" s="16" t="s">
        <v>55</v>
      </c>
      <c r="C14" s="24" t="s">
        <v>16</v>
      </c>
      <c r="D14" s="17">
        <v>43</v>
      </c>
      <c r="E14" s="18">
        <v>2055.62</v>
      </c>
      <c r="F14" s="12">
        <v>87364</v>
      </c>
      <c r="G14" s="24" t="s">
        <v>16</v>
      </c>
      <c r="H14" s="13">
        <f>8.05+6.87+5.82+3.28</f>
        <v>24.020000000000003</v>
      </c>
      <c r="I14" s="18">
        <f t="shared" si="0"/>
        <v>2055.62</v>
      </c>
      <c r="J14" s="12">
        <f t="shared" si="1"/>
        <v>49375.99</v>
      </c>
      <c r="K14" s="19">
        <f t="shared" si="2"/>
        <v>0</v>
      </c>
      <c r="L14" s="19">
        <f t="shared" si="3"/>
        <v>37988.01</v>
      </c>
      <c r="M14" s="20"/>
      <c r="S14" s="23"/>
      <c r="T14" s="23"/>
      <c r="U14" s="23"/>
      <c r="V14" s="23"/>
    </row>
    <row r="15" spans="1:22" s="21" customFormat="1" ht="126">
      <c r="A15" s="15">
        <v>7</v>
      </c>
      <c r="B15" s="22" t="s">
        <v>56</v>
      </c>
      <c r="C15" s="24" t="s">
        <v>16</v>
      </c>
      <c r="D15" s="17">
        <v>15</v>
      </c>
      <c r="E15" s="18">
        <v>6435.24</v>
      </c>
      <c r="F15" s="12">
        <f t="shared" si="4"/>
        <v>96529</v>
      </c>
      <c r="G15" s="24" t="s">
        <v>16</v>
      </c>
      <c r="H15" s="13">
        <f>8.05+6.87+5.82+3.28</f>
        <v>24.020000000000003</v>
      </c>
      <c r="I15" s="18">
        <f t="shared" si="0"/>
        <v>6435.24</v>
      </c>
      <c r="J15" s="12">
        <f t="shared" si="1"/>
        <v>154574.46</v>
      </c>
      <c r="K15" s="19">
        <f t="shared" si="2"/>
        <v>58045.459999999992</v>
      </c>
      <c r="L15" s="19">
        <f t="shared" si="3"/>
        <v>0</v>
      </c>
      <c r="M15" s="20"/>
      <c r="S15" s="23"/>
      <c r="T15" s="23"/>
      <c r="U15" s="23"/>
      <c r="V15" s="23"/>
    </row>
    <row r="16" spans="1:22" s="21" customFormat="1" ht="147">
      <c r="A16" s="15">
        <v>8</v>
      </c>
      <c r="B16" s="22" t="s">
        <v>57</v>
      </c>
      <c r="C16" s="24" t="s">
        <v>16</v>
      </c>
      <c r="D16" s="17">
        <v>20</v>
      </c>
      <c r="E16" s="18">
        <v>179.55</v>
      </c>
      <c r="F16" s="12">
        <v>3501</v>
      </c>
      <c r="G16" s="24" t="s">
        <v>16</v>
      </c>
      <c r="H16" s="13">
        <v>9.6080000000000005</v>
      </c>
      <c r="I16" s="18">
        <f t="shared" si="0"/>
        <v>179.55</v>
      </c>
      <c r="J16" s="12">
        <f t="shared" si="1"/>
        <v>1725.12</v>
      </c>
      <c r="K16" s="19">
        <f t="shared" si="2"/>
        <v>0</v>
      </c>
      <c r="L16" s="19">
        <f t="shared" si="3"/>
        <v>1775.88</v>
      </c>
      <c r="M16" s="20"/>
      <c r="S16" s="23"/>
      <c r="T16" s="23"/>
      <c r="U16" s="23"/>
      <c r="V16" s="23"/>
    </row>
    <row r="17" spans="1:22" s="21" customFormat="1" ht="84">
      <c r="A17" s="15">
        <v>9</v>
      </c>
      <c r="B17" s="22" t="s">
        <v>52</v>
      </c>
      <c r="C17" s="24" t="s">
        <v>18</v>
      </c>
      <c r="D17" s="25">
        <v>500</v>
      </c>
      <c r="E17" s="18">
        <v>60</v>
      </c>
      <c r="F17" s="12">
        <f t="shared" si="4"/>
        <v>30000</v>
      </c>
      <c r="G17" s="24" t="s">
        <v>18</v>
      </c>
      <c r="H17" s="11">
        <v>0</v>
      </c>
      <c r="I17" s="18">
        <f t="shared" si="0"/>
        <v>60</v>
      </c>
      <c r="J17" s="12">
        <f t="shared" si="1"/>
        <v>0</v>
      </c>
      <c r="K17" s="19">
        <f t="shared" si="2"/>
        <v>0</v>
      </c>
      <c r="L17" s="19">
        <f t="shared" si="3"/>
        <v>30000</v>
      </c>
      <c r="M17" s="20"/>
      <c r="S17" s="23"/>
      <c r="T17" s="23"/>
      <c r="U17" s="23"/>
      <c r="V17" s="23"/>
    </row>
    <row r="18" spans="1:22" s="21" customFormat="1" ht="147">
      <c r="A18" s="15">
        <v>10</v>
      </c>
      <c r="B18" s="16" t="s">
        <v>54</v>
      </c>
      <c r="C18" s="26" t="s">
        <v>16</v>
      </c>
      <c r="D18" s="27">
        <v>23</v>
      </c>
      <c r="E18" s="18">
        <v>293.02</v>
      </c>
      <c r="F18" s="12">
        <v>6593</v>
      </c>
      <c r="G18" s="26" t="s">
        <v>16</v>
      </c>
      <c r="H18" s="13">
        <v>0</v>
      </c>
      <c r="I18" s="18">
        <f t="shared" si="0"/>
        <v>293.02</v>
      </c>
      <c r="J18" s="12">
        <f t="shared" si="1"/>
        <v>0</v>
      </c>
      <c r="K18" s="19">
        <f t="shared" si="2"/>
        <v>0</v>
      </c>
      <c r="L18" s="19">
        <f t="shared" si="3"/>
        <v>6593</v>
      </c>
      <c r="M18" s="20"/>
      <c r="S18" s="23"/>
      <c r="T18" s="23"/>
      <c r="U18" s="23"/>
      <c r="V18" s="23"/>
    </row>
    <row r="19" spans="1:22" s="21" customFormat="1" ht="126">
      <c r="A19" s="15">
        <v>11</v>
      </c>
      <c r="B19" s="16" t="s">
        <v>56</v>
      </c>
      <c r="C19" s="17" t="s">
        <v>16</v>
      </c>
      <c r="D19" s="17">
        <v>5</v>
      </c>
      <c r="E19" s="18">
        <v>6435.24</v>
      </c>
      <c r="F19" s="12">
        <v>28959</v>
      </c>
      <c r="G19" s="17" t="s">
        <v>16</v>
      </c>
      <c r="H19" s="13">
        <v>0</v>
      </c>
      <c r="I19" s="18">
        <f t="shared" si="0"/>
        <v>6435.24</v>
      </c>
      <c r="J19" s="12">
        <f t="shared" si="1"/>
        <v>0</v>
      </c>
      <c r="K19" s="19">
        <f t="shared" si="2"/>
        <v>0</v>
      </c>
      <c r="L19" s="19">
        <f t="shared" si="3"/>
        <v>28959</v>
      </c>
      <c r="M19" s="20"/>
      <c r="S19" s="105" t="s">
        <v>49</v>
      </c>
      <c r="T19" s="105"/>
      <c r="U19" s="105"/>
      <c r="V19" s="105"/>
    </row>
    <row r="20" spans="1:22" s="21" customFormat="1" ht="147">
      <c r="A20" s="15">
        <v>12</v>
      </c>
      <c r="B20" s="22" t="s">
        <v>57</v>
      </c>
      <c r="C20" s="17" t="s">
        <v>16</v>
      </c>
      <c r="D20" s="14">
        <v>18</v>
      </c>
      <c r="E20" s="18">
        <v>179.55</v>
      </c>
      <c r="F20" s="12">
        <f t="shared" ref="F20" si="5">ROUND(D20*E20,0)</f>
        <v>3232</v>
      </c>
      <c r="G20" s="17" t="s">
        <v>16</v>
      </c>
      <c r="H20" s="11">
        <v>0</v>
      </c>
      <c r="I20" s="18">
        <f t="shared" si="0"/>
        <v>179.55</v>
      </c>
      <c r="J20" s="12">
        <f t="shared" si="1"/>
        <v>0</v>
      </c>
      <c r="K20" s="19">
        <f t="shared" si="2"/>
        <v>0</v>
      </c>
      <c r="L20" s="19">
        <f t="shared" si="3"/>
        <v>3232</v>
      </c>
      <c r="M20" s="20"/>
      <c r="S20" s="23"/>
      <c r="T20" s="23"/>
      <c r="U20" s="23"/>
      <c r="V20" s="23"/>
    </row>
    <row r="21" spans="1:22" s="21" customFormat="1" ht="126">
      <c r="A21" s="15">
        <v>13</v>
      </c>
      <c r="B21" s="16" t="s">
        <v>65</v>
      </c>
      <c r="C21" s="24" t="s">
        <v>68</v>
      </c>
      <c r="D21" s="17">
        <v>10</v>
      </c>
      <c r="E21" s="18">
        <v>2408</v>
      </c>
      <c r="F21" s="12">
        <f>ROUND(D21*E21,0)</f>
        <v>24080</v>
      </c>
      <c r="G21" s="24" t="s">
        <v>68</v>
      </c>
      <c r="H21" s="11">
        <f>8</f>
        <v>8</v>
      </c>
      <c r="I21" s="18">
        <f t="shared" si="0"/>
        <v>2408</v>
      </c>
      <c r="J21" s="12">
        <f t="shared" si="1"/>
        <v>19264</v>
      </c>
      <c r="K21" s="19">
        <f t="shared" si="2"/>
        <v>0</v>
      </c>
      <c r="L21" s="19">
        <f t="shared" si="3"/>
        <v>4816</v>
      </c>
      <c r="M21" s="20"/>
      <c r="S21" s="23"/>
      <c r="T21" s="23"/>
      <c r="U21" s="23"/>
      <c r="V21" s="23"/>
    </row>
    <row r="22" spans="1:22" s="21" customFormat="1" ht="63">
      <c r="A22" s="15">
        <v>14</v>
      </c>
      <c r="B22" s="16" t="s">
        <v>58</v>
      </c>
      <c r="C22" s="24" t="s">
        <v>69</v>
      </c>
      <c r="D22" s="17">
        <v>900</v>
      </c>
      <c r="E22" s="18">
        <v>106</v>
      </c>
      <c r="F22" s="12">
        <f t="shared" ref="F22:F24" si="6">ROUND(D22*E22,0)</f>
        <v>95400</v>
      </c>
      <c r="G22" s="17" t="s">
        <v>69</v>
      </c>
      <c r="H22" s="11">
        <f>90+90</f>
        <v>180</v>
      </c>
      <c r="I22" s="18">
        <f t="shared" si="0"/>
        <v>106</v>
      </c>
      <c r="J22" s="12">
        <f t="shared" si="1"/>
        <v>19080</v>
      </c>
      <c r="K22" s="19">
        <f t="shared" si="2"/>
        <v>0</v>
      </c>
      <c r="L22" s="19">
        <f t="shared" si="3"/>
        <v>76320</v>
      </c>
      <c r="M22" s="20"/>
      <c r="S22" s="23"/>
      <c r="T22" s="23"/>
      <c r="U22" s="23"/>
      <c r="V22" s="23"/>
    </row>
    <row r="23" spans="1:22" s="21" customFormat="1" ht="21">
      <c r="A23" s="15">
        <v>15</v>
      </c>
      <c r="B23" s="16" t="s">
        <v>59</v>
      </c>
      <c r="C23" s="24" t="s">
        <v>68</v>
      </c>
      <c r="D23" s="17">
        <v>20</v>
      </c>
      <c r="E23" s="18">
        <v>140</v>
      </c>
      <c r="F23" s="12">
        <f t="shared" si="6"/>
        <v>2800</v>
      </c>
      <c r="G23" s="24" t="s">
        <v>68</v>
      </c>
      <c r="H23" s="11">
        <v>0</v>
      </c>
      <c r="I23" s="18">
        <f t="shared" si="0"/>
        <v>140</v>
      </c>
      <c r="J23" s="12">
        <f t="shared" si="1"/>
        <v>0</v>
      </c>
      <c r="K23" s="19">
        <f t="shared" si="2"/>
        <v>0</v>
      </c>
      <c r="L23" s="19">
        <f t="shared" si="3"/>
        <v>2800</v>
      </c>
      <c r="M23" s="20"/>
      <c r="S23" s="23"/>
      <c r="T23" s="23"/>
      <c r="U23" s="23"/>
      <c r="V23" s="23"/>
    </row>
    <row r="24" spans="1:22" s="21" customFormat="1" ht="189">
      <c r="A24" s="15">
        <v>16</v>
      </c>
      <c r="B24" s="22" t="s">
        <v>53</v>
      </c>
      <c r="C24" s="24" t="s">
        <v>16</v>
      </c>
      <c r="D24" s="17">
        <v>3.24</v>
      </c>
      <c r="E24" s="18">
        <v>1109.8599999999999</v>
      </c>
      <c r="F24" s="12">
        <f t="shared" si="6"/>
        <v>3596</v>
      </c>
      <c r="G24" s="24" t="s">
        <v>16</v>
      </c>
      <c r="H24" s="11">
        <v>0</v>
      </c>
      <c r="I24" s="18">
        <f t="shared" si="0"/>
        <v>1109.8599999999999</v>
      </c>
      <c r="J24" s="12">
        <f t="shared" si="1"/>
        <v>0</v>
      </c>
      <c r="K24" s="19">
        <f t="shared" si="2"/>
        <v>0</v>
      </c>
      <c r="L24" s="19">
        <f t="shared" si="3"/>
        <v>3596</v>
      </c>
      <c r="M24" s="20"/>
      <c r="S24" s="23"/>
      <c r="T24" s="23"/>
      <c r="U24" s="23"/>
      <c r="V24" s="23"/>
    </row>
    <row r="25" spans="1:22" s="21" customFormat="1" ht="126">
      <c r="A25" s="15">
        <v>17</v>
      </c>
      <c r="B25" s="22" t="s">
        <v>56</v>
      </c>
      <c r="C25" s="24" t="s">
        <v>70</v>
      </c>
      <c r="D25" s="17">
        <v>6.84</v>
      </c>
      <c r="E25" s="18">
        <v>6435.24</v>
      </c>
      <c r="F25" s="12">
        <f>ROUND(D25*E25,0)</f>
        <v>44017</v>
      </c>
      <c r="G25" s="24" t="s">
        <v>16</v>
      </c>
      <c r="H25" s="11">
        <v>0</v>
      </c>
      <c r="I25" s="18">
        <f t="shared" si="0"/>
        <v>6435.24</v>
      </c>
      <c r="J25" s="12">
        <f t="shared" si="1"/>
        <v>0</v>
      </c>
      <c r="K25" s="19">
        <f t="shared" si="2"/>
        <v>0</v>
      </c>
      <c r="L25" s="19">
        <f t="shared" si="3"/>
        <v>44017</v>
      </c>
      <c r="M25" s="20"/>
      <c r="S25" s="23"/>
      <c r="T25" s="23"/>
      <c r="U25" s="23"/>
      <c r="V25" s="23"/>
    </row>
    <row r="26" spans="1:22" s="21" customFormat="1" ht="21">
      <c r="A26" s="15">
        <v>18</v>
      </c>
      <c r="B26" s="22" t="s">
        <v>59</v>
      </c>
      <c r="C26" s="24" t="s">
        <v>68</v>
      </c>
      <c r="D26" s="25">
        <v>50</v>
      </c>
      <c r="E26" s="18">
        <v>140</v>
      </c>
      <c r="F26" s="12">
        <f>ROUND(D26*E26,0)</f>
        <v>7000</v>
      </c>
      <c r="G26" s="24" t="s">
        <v>16</v>
      </c>
      <c r="H26" s="11">
        <v>0</v>
      </c>
      <c r="I26" s="18">
        <f t="shared" si="0"/>
        <v>140</v>
      </c>
      <c r="J26" s="12">
        <f t="shared" si="1"/>
        <v>0</v>
      </c>
      <c r="K26" s="19">
        <f t="shared" si="2"/>
        <v>0</v>
      </c>
      <c r="L26" s="19">
        <f t="shared" si="3"/>
        <v>7000</v>
      </c>
      <c r="M26" s="20"/>
      <c r="S26" s="23"/>
      <c r="T26" s="23"/>
      <c r="U26" s="23"/>
      <c r="V26" s="23"/>
    </row>
    <row r="27" spans="1:22" s="21" customFormat="1" ht="42">
      <c r="A27" s="15">
        <v>19</v>
      </c>
      <c r="B27" s="22" t="s">
        <v>60</v>
      </c>
      <c r="C27" s="24" t="s">
        <v>71</v>
      </c>
      <c r="D27" s="27">
        <v>3</v>
      </c>
      <c r="E27" s="18">
        <v>152</v>
      </c>
      <c r="F27" s="12">
        <f>ROUND(D27*E27,0)</f>
        <v>456</v>
      </c>
      <c r="G27" s="24" t="s">
        <v>70</v>
      </c>
      <c r="H27" s="11">
        <v>3</v>
      </c>
      <c r="I27" s="18">
        <f t="shared" si="0"/>
        <v>152</v>
      </c>
      <c r="J27" s="12">
        <f t="shared" si="1"/>
        <v>456</v>
      </c>
      <c r="K27" s="19">
        <f t="shared" si="2"/>
        <v>0</v>
      </c>
      <c r="L27" s="19">
        <f t="shared" si="3"/>
        <v>0</v>
      </c>
      <c r="M27" s="20"/>
      <c r="S27" s="23"/>
      <c r="T27" s="23"/>
      <c r="U27" s="23"/>
      <c r="V27" s="23"/>
    </row>
    <row r="28" spans="1:22" s="21" customFormat="1" ht="42">
      <c r="A28" s="15">
        <v>20</v>
      </c>
      <c r="B28" s="22" t="s">
        <v>61</v>
      </c>
      <c r="C28" s="24" t="s">
        <v>17</v>
      </c>
      <c r="D28" s="17">
        <v>3</v>
      </c>
      <c r="E28" s="18">
        <v>200</v>
      </c>
      <c r="F28" s="12">
        <f>ROUND(D28*E28,0)</f>
        <v>600</v>
      </c>
      <c r="G28" s="24" t="s">
        <v>71</v>
      </c>
      <c r="H28" s="11">
        <v>3</v>
      </c>
      <c r="I28" s="18">
        <f t="shared" si="0"/>
        <v>200</v>
      </c>
      <c r="J28" s="12">
        <f t="shared" si="1"/>
        <v>600</v>
      </c>
      <c r="K28" s="19">
        <f t="shared" si="2"/>
        <v>0</v>
      </c>
      <c r="L28" s="19">
        <f t="shared" si="3"/>
        <v>0</v>
      </c>
      <c r="M28" s="20"/>
      <c r="S28" s="23"/>
      <c r="T28" s="23"/>
      <c r="U28" s="23"/>
      <c r="V28" s="23"/>
    </row>
    <row r="29" spans="1:22" s="21" customFormat="1" ht="42">
      <c r="A29" s="15">
        <v>21</v>
      </c>
      <c r="B29" s="16" t="s">
        <v>62</v>
      </c>
      <c r="C29" s="26" t="s">
        <v>71</v>
      </c>
      <c r="D29" s="17">
        <v>3</v>
      </c>
      <c r="E29" s="18">
        <v>560</v>
      </c>
      <c r="F29" s="12">
        <f>ROUND(D29*E29,0)</f>
        <v>1680</v>
      </c>
      <c r="G29" s="26" t="s">
        <v>17</v>
      </c>
      <c r="H29" s="11">
        <v>3</v>
      </c>
      <c r="I29" s="18">
        <f t="shared" si="0"/>
        <v>560</v>
      </c>
      <c r="J29" s="12">
        <f t="shared" si="1"/>
        <v>1680</v>
      </c>
      <c r="K29" s="19">
        <f t="shared" si="2"/>
        <v>0</v>
      </c>
      <c r="L29" s="19">
        <f t="shared" si="3"/>
        <v>0</v>
      </c>
      <c r="M29" s="20"/>
      <c r="S29" s="23"/>
      <c r="T29" s="23"/>
      <c r="U29" s="23"/>
      <c r="V29" s="23"/>
    </row>
    <row r="30" spans="1:22" s="21" customFormat="1" ht="21">
      <c r="A30" s="15">
        <v>22</v>
      </c>
      <c r="B30" s="16" t="s">
        <v>74</v>
      </c>
      <c r="C30" s="17" t="s">
        <v>17</v>
      </c>
      <c r="D30" s="28">
        <v>3</v>
      </c>
      <c r="E30" s="18">
        <v>600</v>
      </c>
      <c r="F30" s="12">
        <f t="shared" ref="F30" si="7">ROUND(D30*E30,0)</f>
        <v>1800</v>
      </c>
      <c r="G30" s="17" t="s">
        <v>71</v>
      </c>
      <c r="H30" s="11">
        <v>3</v>
      </c>
      <c r="I30" s="18">
        <f t="shared" si="0"/>
        <v>600</v>
      </c>
      <c r="J30" s="12">
        <f t="shared" si="1"/>
        <v>1800</v>
      </c>
      <c r="K30" s="19">
        <f t="shared" si="2"/>
        <v>0</v>
      </c>
      <c r="L30" s="19">
        <f t="shared" si="3"/>
        <v>0</v>
      </c>
      <c r="M30" s="20"/>
      <c r="S30" s="105" t="s">
        <v>49</v>
      </c>
      <c r="T30" s="105"/>
      <c r="U30" s="105"/>
      <c r="V30" s="105"/>
    </row>
    <row r="31" spans="1:22" s="21" customFormat="1" ht="42">
      <c r="A31" s="15">
        <v>23</v>
      </c>
      <c r="B31" s="16" t="s">
        <v>63</v>
      </c>
      <c r="C31" s="17" t="s">
        <v>17</v>
      </c>
      <c r="D31" s="17">
        <v>20</v>
      </c>
      <c r="E31" s="18">
        <v>600</v>
      </c>
      <c r="F31" s="12">
        <f>ROUND(D31*E31,0)</f>
        <v>12000</v>
      </c>
      <c r="G31" s="17" t="s">
        <v>17</v>
      </c>
      <c r="H31" s="11">
        <v>10</v>
      </c>
      <c r="I31" s="18">
        <f t="shared" si="0"/>
        <v>600</v>
      </c>
      <c r="J31" s="12">
        <f t="shared" si="1"/>
        <v>6000</v>
      </c>
      <c r="K31" s="19">
        <f t="shared" si="2"/>
        <v>0</v>
      </c>
      <c r="L31" s="19">
        <f t="shared" si="3"/>
        <v>6000</v>
      </c>
      <c r="M31" s="20"/>
      <c r="S31" s="105" t="s">
        <v>49</v>
      </c>
      <c r="T31" s="105"/>
      <c r="U31" s="105"/>
      <c r="V31" s="105"/>
    </row>
    <row r="32" spans="1:22" s="21" customFormat="1" ht="42">
      <c r="A32" s="15">
        <v>24</v>
      </c>
      <c r="B32" s="16" t="s">
        <v>75</v>
      </c>
      <c r="C32" s="24" t="s">
        <v>17</v>
      </c>
      <c r="D32" s="29">
        <v>10</v>
      </c>
      <c r="E32" s="18">
        <v>448</v>
      </c>
      <c r="F32" s="29">
        <f>ROUND(D32*E32,0)</f>
        <v>4480</v>
      </c>
      <c r="G32" s="24" t="s">
        <v>66</v>
      </c>
      <c r="H32" s="11">
        <v>0</v>
      </c>
      <c r="I32" s="18">
        <f t="shared" si="0"/>
        <v>448</v>
      </c>
      <c r="J32" s="12">
        <f t="shared" si="1"/>
        <v>0</v>
      </c>
      <c r="K32" s="19">
        <f t="shared" si="2"/>
        <v>0</v>
      </c>
      <c r="L32" s="19">
        <f t="shared" si="3"/>
        <v>4480</v>
      </c>
      <c r="M32" s="20"/>
      <c r="S32" s="23"/>
      <c r="T32" s="23"/>
      <c r="U32" s="23"/>
      <c r="V32" s="23"/>
    </row>
    <row r="33" spans="1:22" s="21" customFormat="1" ht="42">
      <c r="A33" s="15">
        <v>25</v>
      </c>
      <c r="B33" s="16" t="s">
        <v>84</v>
      </c>
      <c r="C33" s="24" t="s">
        <v>85</v>
      </c>
      <c r="D33" s="29">
        <v>250</v>
      </c>
      <c r="E33" s="18">
        <v>106</v>
      </c>
      <c r="F33" s="29">
        <f>ROUND(D33*E33,0)</f>
        <v>26500</v>
      </c>
      <c r="G33" s="24" t="s">
        <v>66</v>
      </c>
      <c r="H33" s="11">
        <v>0</v>
      </c>
      <c r="I33" s="18">
        <f t="shared" ref="I33" si="8">E33</f>
        <v>106</v>
      </c>
      <c r="J33" s="12">
        <f t="shared" ref="J33" si="9">ROUND(H33*I33,2)</f>
        <v>0</v>
      </c>
      <c r="K33" s="19">
        <f t="shared" si="2"/>
        <v>0</v>
      </c>
      <c r="L33" s="19">
        <f t="shared" si="3"/>
        <v>26500</v>
      </c>
      <c r="M33" s="20"/>
      <c r="S33" s="23"/>
      <c r="T33" s="23"/>
      <c r="U33" s="23"/>
      <c r="V33" s="23"/>
    </row>
    <row r="34" spans="1:22" ht="21">
      <c r="A34" s="24"/>
      <c r="B34" s="30" t="s">
        <v>19</v>
      </c>
      <c r="C34" s="31"/>
      <c r="D34" s="18"/>
      <c r="E34" s="1"/>
      <c r="F34" s="27">
        <f>SUM(F9:F33)</f>
        <v>680081</v>
      </c>
      <c r="G34" s="27"/>
      <c r="H34" s="1"/>
      <c r="I34" s="1"/>
      <c r="J34" s="27">
        <f>SUM(J9:J33)</f>
        <v>639539.32999999996</v>
      </c>
      <c r="K34" s="27">
        <f>SUM(K9:K33)</f>
        <v>267535.21999999997</v>
      </c>
      <c r="L34" s="27">
        <f>SUM(L9:L33)</f>
        <v>308076.89</v>
      </c>
      <c r="M34" s="27">
        <f>F34-J34</f>
        <v>40541.670000000042</v>
      </c>
    </row>
    <row r="35" spans="1:22" s="36" customFormat="1" ht="21">
      <c r="A35" s="15"/>
      <c r="B35" s="32"/>
      <c r="C35" s="88"/>
      <c r="D35" s="88"/>
      <c r="E35" s="88"/>
      <c r="F35" s="33"/>
      <c r="G35" s="29"/>
      <c r="H35" s="106" t="s">
        <v>20</v>
      </c>
      <c r="I35" s="106"/>
      <c r="J35" s="18">
        <v>0</v>
      </c>
      <c r="K35" s="18"/>
      <c r="L35" s="18"/>
      <c r="M35" s="34">
        <f>K34-L34</f>
        <v>-40541.670000000042</v>
      </c>
      <c r="N35" s="35"/>
      <c r="O35" s="35"/>
    </row>
    <row r="36" spans="1:22" s="36" customFormat="1" ht="21">
      <c r="A36" s="15"/>
      <c r="B36" s="32"/>
      <c r="C36" s="88"/>
      <c r="D36" s="88"/>
      <c r="E36" s="88"/>
      <c r="F36" s="33"/>
      <c r="G36" s="2"/>
      <c r="H36" s="2"/>
      <c r="I36" s="2"/>
      <c r="J36" s="2">
        <f>ROUND(J34-J35,0)</f>
        <v>639539</v>
      </c>
      <c r="K36" s="2">
        <v>0</v>
      </c>
      <c r="L36" s="2">
        <v>0</v>
      </c>
      <c r="M36" s="34"/>
      <c r="N36" s="35">
        <v>27023.49</v>
      </c>
      <c r="O36" s="35"/>
    </row>
    <row r="37" spans="1:22" s="36" customFormat="1" ht="21">
      <c r="A37" s="15"/>
      <c r="B37" s="32"/>
      <c r="C37" s="88"/>
      <c r="D37" s="88"/>
      <c r="E37" s="88"/>
      <c r="F37" s="33"/>
      <c r="G37" s="88" t="s">
        <v>87</v>
      </c>
      <c r="H37" s="88"/>
      <c r="I37" s="88"/>
      <c r="J37" s="3">
        <f>ROUND(J36*25%,0)</f>
        <v>159885</v>
      </c>
      <c r="K37" s="18">
        <f>J37-F37</f>
        <v>159885</v>
      </c>
      <c r="L37" s="34">
        <f>J37</f>
        <v>159885</v>
      </c>
      <c r="M37" s="34"/>
      <c r="N37" s="35"/>
      <c r="O37" s="35"/>
    </row>
    <row r="38" spans="1:22" s="36" customFormat="1" ht="21">
      <c r="A38" s="15"/>
      <c r="B38" s="37"/>
      <c r="C38" s="88"/>
      <c r="D38" s="88"/>
      <c r="E38" s="88"/>
      <c r="F38" s="33"/>
      <c r="G38" s="88"/>
      <c r="H38" s="88"/>
      <c r="I38" s="88"/>
      <c r="J38" s="38">
        <f>J36-J37</f>
        <v>479654</v>
      </c>
      <c r="K38" s="19">
        <f t="shared" ref="K38:K45" si="10">IF(J38&gt;F38,J38-F38,0)</f>
        <v>479654</v>
      </c>
      <c r="L38" s="19">
        <f t="shared" ref="L38:L45" si="11">IF(F38&gt;J38,F38-J38,0)</f>
        <v>0</v>
      </c>
      <c r="M38" s="34"/>
      <c r="N38" s="35"/>
      <c r="O38" s="35"/>
    </row>
    <row r="39" spans="1:22" s="36" customFormat="1" ht="21">
      <c r="A39" s="15"/>
      <c r="B39" s="32"/>
      <c r="C39" s="87" t="s">
        <v>21</v>
      </c>
      <c r="D39" s="87"/>
      <c r="E39" s="87"/>
      <c r="F39" s="3">
        <f>ROUND(F34*1%,0)</f>
        <v>6801</v>
      </c>
      <c r="G39" s="88"/>
      <c r="H39" s="88"/>
      <c r="I39" s="88"/>
      <c r="J39" s="3">
        <f>ROUND(J38*1%,0)</f>
        <v>4797</v>
      </c>
      <c r="K39" s="19">
        <f t="shared" si="10"/>
        <v>0</v>
      </c>
      <c r="L39" s="19">
        <f t="shared" si="11"/>
        <v>2004</v>
      </c>
      <c r="M39" s="34"/>
      <c r="N39" s="35"/>
      <c r="O39" s="35"/>
    </row>
    <row r="40" spans="1:22" s="36" customFormat="1" ht="21">
      <c r="A40" s="15"/>
      <c r="B40" s="32"/>
      <c r="C40" s="87" t="s">
        <v>86</v>
      </c>
      <c r="D40" s="87"/>
      <c r="E40" s="87"/>
      <c r="F40" s="3">
        <f>ROUND(F34*0.24%,0)</f>
        <v>1632</v>
      </c>
      <c r="G40" s="88" t="s">
        <v>72</v>
      </c>
      <c r="H40" s="88"/>
      <c r="I40" s="88"/>
      <c r="J40" s="3">
        <f>ROUND(510061*0.36%,0)</f>
        <v>1836</v>
      </c>
      <c r="K40" s="19">
        <f t="shared" si="10"/>
        <v>204</v>
      </c>
      <c r="L40" s="19">
        <f t="shared" si="11"/>
        <v>0</v>
      </c>
      <c r="M40" s="34"/>
      <c r="N40" s="35"/>
      <c r="O40" s="35"/>
    </row>
    <row r="41" spans="1:22" s="36" customFormat="1" ht="21">
      <c r="A41" s="15"/>
      <c r="B41" s="32"/>
      <c r="C41" s="87" t="s">
        <v>22</v>
      </c>
      <c r="D41" s="87"/>
      <c r="E41" s="87"/>
      <c r="F41" s="3">
        <f>ROUND(F34*0.1%,0)</f>
        <v>680</v>
      </c>
      <c r="G41" s="88"/>
      <c r="H41" s="88"/>
      <c r="I41" s="88"/>
      <c r="J41" s="3">
        <f>ROUND(J38*0.1%,0)</f>
        <v>480</v>
      </c>
      <c r="K41" s="19">
        <f t="shared" si="10"/>
        <v>0</v>
      </c>
      <c r="L41" s="19">
        <f t="shared" si="11"/>
        <v>200</v>
      </c>
      <c r="M41" s="34"/>
      <c r="O41" s="35"/>
    </row>
    <row r="42" spans="1:22" s="36" customFormat="1" ht="25.5" customHeight="1">
      <c r="A42" s="39"/>
      <c r="B42" s="32"/>
      <c r="C42" s="87" t="s">
        <v>23</v>
      </c>
      <c r="D42" s="87"/>
      <c r="E42" s="87"/>
      <c r="F42" s="3">
        <f>ROUND(F34*2%,0)</f>
        <v>13602</v>
      </c>
      <c r="G42" s="88"/>
      <c r="H42" s="88"/>
      <c r="I42" s="88"/>
      <c r="J42" s="3">
        <f>C65</f>
        <v>7087.4613000000018</v>
      </c>
      <c r="K42" s="19">
        <f t="shared" si="10"/>
        <v>0</v>
      </c>
      <c r="L42" s="19">
        <f t="shared" si="11"/>
        <v>6514.5386999999982</v>
      </c>
      <c r="M42" s="34"/>
      <c r="N42" s="35"/>
      <c r="O42" s="35"/>
      <c r="Q42" s="40">
        <f>SUM(Q6:Q38)</f>
        <v>0</v>
      </c>
      <c r="R42" s="36">
        <f>SUM(P6:P40)</f>
        <v>0</v>
      </c>
      <c r="S42" s="35">
        <f>Q42-R42</f>
        <v>0</v>
      </c>
      <c r="T42" s="41">
        <f>ROUND(S42*80%,2)</f>
        <v>0</v>
      </c>
    </row>
    <row r="43" spans="1:22" s="36" customFormat="1" ht="21">
      <c r="A43" s="39"/>
      <c r="B43" s="32"/>
      <c r="C43" s="87" t="s">
        <v>24</v>
      </c>
      <c r="D43" s="87"/>
      <c r="E43" s="87"/>
      <c r="F43" s="3">
        <f>ROUND(F42*30%,0)</f>
        <v>4081</v>
      </c>
      <c r="G43" s="88"/>
      <c r="H43" s="88"/>
      <c r="I43" s="88"/>
      <c r="J43" s="3">
        <f>ROUND(J42*30%,0)</f>
        <v>2126</v>
      </c>
      <c r="K43" s="19">
        <f t="shared" si="10"/>
        <v>0</v>
      </c>
      <c r="L43" s="19">
        <f t="shared" si="11"/>
        <v>1955</v>
      </c>
      <c r="M43" s="29"/>
      <c r="N43" s="35"/>
      <c r="O43" s="35"/>
    </row>
    <row r="44" spans="1:22" s="42" customFormat="1" ht="21">
      <c r="A44" s="39"/>
      <c r="B44" s="32"/>
      <c r="C44" s="87" t="s">
        <v>25</v>
      </c>
      <c r="D44" s="87"/>
      <c r="E44" s="87"/>
      <c r="F44" s="3">
        <f>ROUND(F42*2%,0)</f>
        <v>272</v>
      </c>
      <c r="G44" s="88"/>
      <c r="H44" s="88"/>
      <c r="I44" s="88"/>
      <c r="J44" s="3">
        <f>ROUND(J42*2%,0)</f>
        <v>142</v>
      </c>
      <c r="K44" s="19">
        <f t="shared" si="10"/>
        <v>0</v>
      </c>
      <c r="L44" s="19">
        <f t="shared" si="11"/>
        <v>130</v>
      </c>
      <c r="M44" s="29"/>
    </row>
    <row r="45" spans="1:22" s="42" customFormat="1" ht="21">
      <c r="A45" s="39"/>
      <c r="B45" s="32"/>
      <c r="C45" s="87" t="s">
        <v>26</v>
      </c>
      <c r="D45" s="87"/>
      <c r="E45" s="87"/>
      <c r="F45" s="3">
        <f>ROUND(F42*0.8,0)</f>
        <v>10882</v>
      </c>
      <c r="G45" s="88"/>
      <c r="H45" s="88"/>
      <c r="I45" s="88"/>
      <c r="J45" s="3">
        <f>F68</f>
        <v>5497.0250400000014</v>
      </c>
      <c r="K45" s="19">
        <f t="shared" si="10"/>
        <v>0</v>
      </c>
      <c r="L45" s="19">
        <f t="shared" si="11"/>
        <v>5384.9749599999986</v>
      </c>
      <c r="M45" s="29"/>
    </row>
    <row r="46" spans="1:22" s="42" customFormat="1" ht="21">
      <c r="A46" s="39"/>
      <c r="B46" s="32"/>
      <c r="C46" s="87" t="s">
        <v>27</v>
      </c>
      <c r="D46" s="87"/>
      <c r="E46" s="87"/>
      <c r="F46" s="2">
        <f>SUM(F34:F45)</f>
        <v>718031</v>
      </c>
      <c r="G46" s="88"/>
      <c r="H46" s="88"/>
      <c r="I46" s="88"/>
      <c r="J46" s="2">
        <f>SUM(J38:J45)</f>
        <v>501619.48634</v>
      </c>
      <c r="K46" s="27">
        <f>SUM(K34:K45)</f>
        <v>907278.22</v>
      </c>
      <c r="L46" s="27">
        <f>SUM(L34:L45)</f>
        <v>484150.40366000001</v>
      </c>
      <c r="M46" s="19"/>
      <c r="N46" s="43">
        <f>F46-J46</f>
        <v>216411.51366</v>
      </c>
      <c r="O46" s="43"/>
    </row>
    <row r="47" spans="1:22" s="42" customFormat="1" ht="21">
      <c r="A47" s="39"/>
      <c r="B47" s="32"/>
      <c r="C47" s="87" t="s">
        <v>28</v>
      </c>
      <c r="D47" s="87"/>
      <c r="E47" s="87"/>
      <c r="F47" s="3">
        <v>75379</v>
      </c>
      <c r="G47" s="88" t="s">
        <v>28</v>
      </c>
      <c r="H47" s="88"/>
      <c r="I47" s="88"/>
      <c r="J47" s="3">
        <f>ROUND(J46*18%,0)</f>
        <v>90292</v>
      </c>
      <c r="K47" s="19">
        <f t="shared" ref="K47:K48" si="12">IF(J47&gt;F47,J47-F47,0)</f>
        <v>14913</v>
      </c>
      <c r="L47" s="19">
        <f t="shared" ref="L47:L48" si="13">IF(F47&gt;J47,F47-J47,0)</f>
        <v>0</v>
      </c>
      <c r="M47" s="29"/>
      <c r="N47" s="43">
        <f>K46-L46</f>
        <v>423127.81633999996</v>
      </c>
      <c r="O47" s="43"/>
    </row>
    <row r="48" spans="1:22" s="42" customFormat="1" ht="21">
      <c r="A48" s="39"/>
      <c r="B48" s="32"/>
      <c r="C48" s="87" t="s">
        <v>29</v>
      </c>
      <c r="D48" s="87"/>
      <c r="E48" s="87"/>
      <c r="F48" s="3">
        <f>F49-(F46+F47)</f>
        <v>6590</v>
      </c>
      <c r="G48" s="88" t="s">
        <v>73</v>
      </c>
      <c r="H48" s="88"/>
      <c r="I48" s="88"/>
      <c r="J48" s="3">
        <v>0</v>
      </c>
      <c r="K48" s="19">
        <f t="shared" si="12"/>
        <v>0</v>
      </c>
      <c r="L48" s="19">
        <f t="shared" si="13"/>
        <v>6590</v>
      </c>
      <c r="M48" s="34"/>
    </row>
    <row r="49" spans="1:15" s="42" customFormat="1" ht="22.5" customHeight="1">
      <c r="A49" s="39"/>
      <c r="B49" s="32"/>
      <c r="C49" s="87" t="s">
        <v>30</v>
      </c>
      <c r="D49" s="87"/>
      <c r="E49" s="87"/>
      <c r="F49" s="2">
        <v>800000</v>
      </c>
      <c r="G49" s="88"/>
      <c r="H49" s="88"/>
      <c r="I49" s="88"/>
      <c r="J49" s="38">
        <f>SUM(J46:J48)</f>
        <v>591911.48634000006</v>
      </c>
      <c r="K49" s="38">
        <f>SUM(K46:K48)</f>
        <v>922191.22</v>
      </c>
      <c r="L49" s="38">
        <f>SUM(L46:L48)</f>
        <v>490740.40366000001</v>
      </c>
      <c r="M49" s="38"/>
      <c r="N49" s="43"/>
      <c r="O49" s="43"/>
    </row>
    <row r="50" spans="1:15" s="47" customFormat="1" ht="33" customHeight="1">
      <c r="A50" s="29"/>
      <c r="B50" s="30" t="s">
        <v>31</v>
      </c>
      <c r="C50" s="89"/>
      <c r="D50" s="89"/>
      <c r="E50" s="89"/>
      <c r="F50" s="89"/>
      <c r="G50" s="90"/>
      <c r="H50" s="91"/>
      <c r="I50" s="91"/>
      <c r="J50" s="92"/>
      <c r="K50" s="44"/>
      <c r="L50" s="29"/>
      <c r="M50" s="45"/>
      <c r="N50" s="46"/>
    </row>
    <row r="51" spans="1:15" s="47" customFormat="1" ht="25.5" customHeight="1">
      <c r="A51" s="29"/>
      <c r="B51" s="48" t="s">
        <v>32</v>
      </c>
      <c r="C51" s="93">
        <f>F34</f>
        <v>680081</v>
      </c>
      <c r="D51" s="94"/>
      <c r="E51" s="94"/>
      <c r="F51" s="95"/>
      <c r="G51" s="96" t="s">
        <v>33</v>
      </c>
      <c r="H51" s="97"/>
      <c r="I51" s="98"/>
      <c r="J51" s="2">
        <f>J36</f>
        <v>639539</v>
      </c>
      <c r="K51" s="49"/>
      <c r="L51" s="50" t="s">
        <v>34</v>
      </c>
      <c r="M51" s="2">
        <f>C53</f>
        <v>510061</v>
      </c>
      <c r="O51" s="51"/>
    </row>
    <row r="52" spans="1:15" s="47" customFormat="1" ht="22.5" customHeight="1">
      <c r="A52" s="29"/>
      <c r="B52" s="48" t="s">
        <v>88</v>
      </c>
      <c r="C52" s="99">
        <f>ROUND(C51*25%,0)</f>
        <v>170020</v>
      </c>
      <c r="D52" s="100"/>
      <c r="E52" s="100"/>
      <c r="F52" s="101"/>
      <c r="G52" s="96" t="str">
        <f>B52</f>
        <v>Tender Percentage (- 25.00% Less)</v>
      </c>
      <c r="H52" s="97"/>
      <c r="I52" s="98"/>
      <c r="J52" s="3">
        <f>ROUND(J51*25%,0)</f>
        <v>159885</v>
      </c>
      <c r="K52" s="52"/>
      <c r="L52" s="50" t="s">
        <v>35</v>
      </c>
      <c r="M52" s="3">
        <f>J53</f>
        <v>479654</v>
      </c>
    </row>
    <row r="53" spans="1:15" s="47" customFormat="1" ht="22.5" customHeight="1">
      <c r="A53" s="29"/>
      <c r="B53" s="48" t="s">
        <v>36</v>
      </c>
      <c r="C53" s="93">
        <f>ROUND(C51-C52,0)</f>
        <v>510061</v>
      </c>
      <c r="D53" s="94"/>
      <c r="E53" s="94"/>
      <c r="F53" s="95"/>
      <c r="G53" s="96" t="s">
        <v>35</v>
      </c>
      <c r="H53" s="97"/>
      <c r="I53" s="98"/>
      <c r="J53" s="2">
        <f>J51-J52</f>
        <v>479654</v>
      </c>
      <c r="K53" s="49"/>
      <c r="L53" s="50" t="s">
        <v>37</v>
      </c>
      <c r="M53" s="2">
        <f>M51-M52</f>
        <v>30407</v>
      </c>
    </row>
    <row r="54" spans="1:15" s="47" customFormat="1" ht="27.75" customHeight="1">
      <c r="A54" s="29"/>
      <c r="B54" s="53"/>
      <c r="C54" s="102"/>
      <c r="D54" s="103"/>
      <c r="E54" s="103"/>
      <c r="F54" s="103"/>
      <c r="G54" s="103"/>
      <c r="H54" s="103"/>
      <c r="I54" s="103"/>
      <c r="J54" s="104"/>
      <c r="K54" s="54"/>
      <c r="L54" s="39" t="s">
        <v>38</v>
      </c>
      <c r="M54" s="55">
        <f>M53/C53</f>
        <v>5.9614438273069302E-2</v>
      </c>
    </row>
    <row r="55" spans="1:15" s="47" customFormat="1" ht="27.75" customHeight="1">
      <c r="A55" s="56"/>
      <c r="B55" s="57"/>
      <c r="C55" s="8"/>
      <c r="D55" s="8"/>
      <c r="E55" s="8"/>
      <c r="F55" s="8"/>
      <c r="G55" s="8"/>
      <c r="H55" s="8"/>
      <c r="I55" s="8"/>
      <c r="J55" s="8"/>
      <c r="K55" s="8"/>
      <c r="L55" s="58"/>
      <c r="M55" s="59"/>
    </row>
    <row r="56" spans="1:15" s="61" customFormat="1" ht="27.75" customHeight="1">
      <c r="A56" s="60"/>
      <c r="B56" s="57"/>
      <c r="C56" s="8"/>
      <c r="D56" s="8"/>
      <c r="E56" s="8"/>
      <c r="F56" s="8"/>
      <c r="G56" s="8"/>
      <c r="H56" s="8"/>
      <c r="I56" s="8"/>
      <c r="J56" s="8"/>
      <c r="K56" s="8"/>
      <c r="L56" s="58"/>
      <c r="M56" s="59"/>
    </row>
    <row r="57" spans="1:15" s="47" customFormat="1" ht="27.75" hidden="1" customHeight="1">
      <c r="A57" s="56"/>
      <c r="B57" s="57"/>
      <c r="C57" s="8"/>
      <c r="D57" s="8"/>
      <c r="E57" s="8"/>
      <c r="F57" s="8"/>
      <c r="G57" s="8"/>
      <c r="H57" s="8"/>
      <c r="I57" s="8"/>
      <c r="J57" s="8"/>
      <c r="K57" s="8"/>
      <c r="L57" s="58"/>
      <c r="M57" s="59"/>
    </row>
    <row r="58" spans="1:15" ht="23.25" hidden="1">
      <c r="B58" s="84" t="s">
        <v>39</v>
      </c>
      <c r="C58" s="85"/>
      <c r="D58" s="85"/>
      <c r="E58" s="85"/>
      <c r="F58" s="86"/>
      <c r="G58" s="9"/>
      <c r="H58" s="9"/>
      <c r="I58" s="9"/>
      <c r="J58" s="9"/>
      <c r="K58" s="9"/>
      <c r="L58" s="4" t="s">
        <v>40</v>
      </c>
    </row>
    <row r="59" spans="1:15" ht="40.5" hidden="1">
      <c r="B59" s="62" t="s">
        <v>41</v>
      </c>
      <c r="C59" s="62" t="s">
        <v>42</v>
      </c>
      <c r="D59" s="62" t="s">
        <v>43</v>
      </c>
      <c r="E59" s="63" t="s">
        <v>44</v>
      </c>
      <c r="F59" s="63" t="s">
        <v>45</v>
      </c>
      <c r="G59" s="64"/>
      <c r="H59" s="9"/>
      <c r="I59" s="64"/>
      <c r="J59" s="9"/>
      <c r="K59" s="9"/>
      <c r="L59" s="65"/>
    </row>
    <row r="60" spans="1:15" ht="21" hidden="1">
      <c r="B60" s="24" t="s">
        <v>76</v>
      </c>
      <c r="C60" s="66">
        <f>H15</f>
        <v>24.020000000000003</v>
      </c>
      <c r="D60" s="18">
        <f>C60*0.9</f>
        <v>21.618000000000002</v>
      </c>
      <c r="E60" s="18">
        <f>C60*0.225</f>
        <v>5.4045000000000005</v>
      </c>
      <c r="F60" s="18">
        <f>C60*0.225</f>
        <v>5.4045000000000005</v>
      </c>
      <c r="G60" s="10">
        <f>C60*0.9*117</f>
        <v>2529.306</v>
      </c>
      <c r="H60" s="10">
        <f>C60*0.225*117</f>
        <v>632.32650000000001</v>
      </c>
      <c r="I60" s="10">
        <f>C60*0.225*40</f>
        <v>216.18</v>
      </c>
      <c r="J60" s="10">
        <f t="shared" ref="J60:J61" si="14">SUM(G60:I60)</f>
        <v>3377.8125</v>
      </c>
      <c r="K60" s="10"/>
    </row>
    <row r="61" spans="1:15" ht="21" hidden="1">
      <c r="B61" s="24" t="s">
        <v>50</v>
      </c>
      <c r="C61" s="18">
        <f>H14</f>
        <v>24.020000000000003</v>
      </c>
      <c r="D61" s="18">
        <f>C61*1.32</f>
        <v>31.706400000000006</v>
      </c>
      <c r="E61" s="18">
        <v>0</v>
      </c>
      <c r="F61" s="18">
        <v>0</v>
      </c>
      <c r="G61" s="10">
        <f>C61*1.32*117</f>
        <v>3709.6488000000008</v>
      </c>
      <c r="H61" s="10"/>
      <c r="I61" s="10"/>
      <c r="J61" s="10">
        <f t="shared" si="14"/>
        <v>3709.6488000000008</v>
      </c>
      <c r="K61" s="10"/>
      <c r="L61" s="65"/>
    </row>
    <row r="62" spans="1:15" ht="21" hidden="1">
      <c r="B62" s="24" t="s">
        <v>27</v>
      </c>
      <c r="C62" s="67"/>
      <c r="D62" s="27">
        <f>SUM(D60:D61)</f>
        <v>53.324400000000011</v>
      </c>
      <c r="E62" s="27">
        <f>SUM(E60:E61)</f>
        <v>5.4045000000000005</v>
      </c>
      <c r="F62" s="27">
        <f>SUM(F60:F61)</f>
        <v>5.4045000000000005</v>
      </c>
      <c r="G62" s="10"/>
      <c r="H62" s="10"/>
      <c r="I62" s="10"/>
      <c r="J62" s="10">
        <f>SUM(J60:J61)</f>
        <v>7087.4613000000008</v>
      </c>
      <c r="K62" s="10"/>
    </row>
    <row r="63" spans="1:15" ht="21" hidden="1" customHeight="1">
      <c r="B63" s="76"/>
      <c r="C63" s="77"/>
      <c r="D63" s="1">
        <v>117</v>
      </c>
      <c r="E63" s="1">
        <v>117</v>
      </c>
      <c r="F63" s="1">
        <v>40</v>
      </c>
      <c r="G63" s="9"/>
      <c r="H63" s="9"/>
      <c r="I63" s="9"/>
      <c r="J63" s="9"/>
      <c r="K63" s="9"/>
    </row>
    <row r="64" spans="1:15" ht="21" hidden="1">
      <c r="B64" s="78"/>
      <c r="C64" s="79"/>
      <c r="D64" s="68">
        <f>D62*D63</f>
        <v>6238.9548000000013</v>
      </c>
      <c r="E64" s="68">
        <f>E62*E63</f>
        <v>632.32650000000001</v>
      </c>
      <c r="F64" s="68">
        <f>F62*F63</f>
        <v>216.18</v>
      </c>
      <c r="G64" s="9"/>
      <c r="H64" s="9"/>
      <c r="I64" s="9"/>
      <c r="J64" s="9"/>
      <c r="K64" s="9"/>
    </row>
    <row r="65" spans="2:11" ht="20.25" hidden="1">
      <c r="B65" s="69" t="s">
        <v>46</v>
      </c>
      <c r="C65" s="80">
        <f>D64+E64+F64</f>
        <v>7087.4613000000018</v>
      </c>
      <c r="D65" s="80"/>
      <c r="E65" s="80"/>
      <c r="F65" s="80"/>
      <c r="G65" s="9"/>
      <c r="H65" s="9"/>
      <c r="I65" s="9"/>
      <c r="J65" s="9"/>
      <c r="K65" s="9"/>
    </row>
    <row r="66" spans="2:11" hidden="1"/>
    <row r="67" spans="2:11" ht="21" hidden="1">
      <c r="B67" s="70" t="s">
        <v>47</v>
      </c>
      <c r="C67" s="24" t="s">
        <v>48</v>
      </c>
      <c r="D67" s="68">
        <f>D64+E64</f>
        <v>6871.2813000000015</v>
      </c>
      <c r="E67" s="70">
        <f>0.8</f>
        <v>0.8</v>
      </c>
      <c r="F67" s="71">
        <f>D67*E67</f>
        <v>5497.0250400000014</v>
      </c>
      <c r="G67" s="5"/>
      <c r="H67" s="5"/>
      <c r="I67" s="5"/>
    </row>
    <row r="68" spans="2:11" ht="20.25" hidden="1">
      <c r="B68" s="72"/>
      <c r="C68" s="72"/>
      <c r="D68" s="81" t="s">
        <v>27</v>
      </c>
      <c r="E68" s="82"/>
      <c r="F68" s="73">
        <f>F67</f>
        <v>5497.0250400000014</v>
      </c>
      <c r="G68" s="6"/>
      <c r="H68" s="6"/>
      <c r="I68" s="74"/>
    </row>
    <row r="69" spans="2:11" hidden="1"/>
    <row r="70" spans="2:11" hidden="1"/>
    <row r="71" spans="2:11" hidden="1"/>
    <row r="72" spans="2:11" hidden="1"/>
    <row r="73" spans="2:11" hidden="1"/>
    <row r="74" spans="2:11" hidden="1"/>
    <row r="75" spans="2:11" hidden="1"/>
    <row r="81" spans="2:12" s="75" customFormat="1" ht="37.5">
      <c r="B81" s="7" t="s">
        <v>79</v>
      </c>
      <c r="E81" s="83" t="s">
        <v>80</v>
      </c>
      <c r="F81" s="83"/>
      <c r="G81" s="83"/>
      <c r="H81" s="7"/>
      <c r="J81" s="83" t="s">
        <v>81</v>
      </c>
      <c r="K81" s="83"/>
      <c r="L81" s="83"/>
    </row>
  </sheetData>
  <mergeCells count="61">
    <mergeCell ref="S9:V9"/>
    <mergeCell ref="A1:M1"/>
    <mergeCell ref="A2:M2"/>
    <mergeCell ref="A3:M3"/>
    <mergeCell ref="A4:B4"/>
    <mergeCell ref="C4:M4"/>
    <mergeCell ref="A5:B5"/>
    <mergeCell ref="C5:M5"/>
    <mergeCell ref="A6:B6"/>
    <mergeCell ref="C6:D6"/>
    <mergeCell ref="E6:M6"/>
    <mergeCell ref="D7:F7"/>
    <mergeCell ref="H7:J7"/>
    <mergeCell ref="C39:E39"/>
    <mergeCell ref="G39:I39"/>
    <mergeCell ref="S10:V10"/>
    <mergeCell ref="S19:V19"/>
    <mergeCell ref="S30:V30"/>
    <mergeCell ref="S31:V31"/>
    <mergeCell ref="C35:E35"/>
    <mergeCell ref="H35:I35"/>
    <mergeCell ref="C36:E36"/>
    <mergeCell ref="C37:E37"/>
    <mergeCell ref="G37:I37"/>
    <mergeCell ref="C38:E38"/>
    <mergeCell ref="G38:I38"/>
    <mergeCell ref="C40:E40"/>
    <mergeCell ref="G40:I40"/>
    <mergeCell ref="C41:E41"/>
    <mergeCell ref="G41:I41"/>
    <mergeCell ref="C42:E42"/>
    <mergeCell ref="G42:I42"/>
    <mergeCell ref="C43:E43"/>
    <mergeCell ref="G43:I43"/>
    <mergeCell ref="C44:E44"/>
    <mergeCell ref="G44:I44"/>
    <mergeCell ref="C45:E45"/>
    <mergeCell ref="G45:I45"/>
    <mergeCell ref="C46:E46"/>
    <mergeCell ref="G46:I46"/>
    <mergeCell ref="C47:E47"/>
    <mergeCell ref="G47:I47"/>
    <mergeCell ref="C48:E48"/>
    <mergeCell ref="G48:I48"/>
    <mergeCell ref="B58:F58"/>
    <mergeCell ref="C49:E49"/>
    <mergeCell ref="G49:I49"/>
    <mergeCell ref="C50:F50"/>
    <mergeCell ref="G50:J50"/>
    <mergeCell ref="C51:F51"/>
    <mergeCell ref="G51:I51"/>
    <mergeCell ref="C52:F52"/>
    <mergeCell ref="G52:I52"/>
    <mergeCell ref="C53:F53"/>
    <mergeCell ref="G53:I53"/>
    <mergeCell ref="C54:J54"/>
    <mergeCell ref="B63:C64"/>
    <mergeCell ref="C65:F65"/>
    <mergeCell ref="D68:E68"/>
    <mergeCell ref="E81:G81"/>
    <mergeCell ref="J81:L81"/>
  </mergeCells>
  <dataValidations count="1">
    <dataValidation type="decimal" operator="lessThan" allowBlank="1" showInputMessage="1" showErrorMessage="1" sqref="WVQ20:WVQ29 WLU11:WLU18 VSC11:VSC18 VIG11:VIG18 UYK11:UYK18 UOO11:UOO18 UES11:UES18 TUW11:TUW18 TLA11:TLA18 TBE11:TBE18 SRI11:SRI18 SHM11:SHM18 RXQ11:RXQ18 RNU11:RNU18 RDY11:RDY18 QUC11:QUC18 QKG11:QKG18 QAK11:QAK18 PQO11:PQO18 PGS11:PGS18 OWW11:OWW18 ONA11:ONA18 ODE11:ODE18 NTI11:NTI18 NJM11:NJM18 MZQ11:MZQ18 MPU11:MPU18 MFY11:MFY18 LWC11:LWC18 LMG11:LMG18 LCK11:LCK18 KSO11:KSO18 KIS11:KIS18 JYW11:JYW18 JPA11:JPA18 JFE11:JFE18 IVI11:IVI18 ILM11:ILM18 IBQ11:IBQ18 HRU11:HRU18 HHY11:HHY18 GYC11:GYC18 GOG11:GOG18 GEK11:GEK18 FUO11:FUO18 FKS11:FKS18 FAW11:FAW18 ERA11:ERA18 EHE11:EHE18 DXI11:DXI18 DNM11:DNM18 DDQ11:DDQ18 CTU11:CTU18 CJY11:CJY18 CAC11:CAC18 BQG11:BQG18 BGK11:BGK18 AWO11:AWO18 AMS11:AMS18 ACW11:ACW18 TA11:TA18 JE11:JE18 WVQ11:WVQ18 WBY11:WBY18 ACS9:ACS33 AMO9:AMO33 AWK9:AWK33 BGG9:BGG33 BQC9:BQC33 BZY9:BZY33 CJU9:CJU33 CTQ9:CTQ33 DDM9:DDM33 DNI9:DNI33 DXE9:DXE33 EHA9:EHA33 EQW9:EQW33 FAS9:FAS33 FKO9:FKO33 FUK9:FUK33 GEG9:GEG33 GOC9:GOC33 GXY9:GXY33 HHU9:HHU33 HRQ9:HRQ33 IBM9:IBM33 ILI9:ILI33 IVE9:IVE33 JFA9:JFA33 JOW9:JOW33 JYS9:JYS33 KIO9:KIO33 KSK9:KSK33 LCG9:LCG33 LMC9:LMC33 LVY9:LVY33 MFU9:MFU33 MPQ9:MPQ33 MZM9:MZM33 NJI9:NJI33 NTE9:NTE33 ODA9:ODA33 OMW9:OMW33 OWS9:OWS33 PGO9:PGO33 PQK9:PQK33 QAG9:QAG33 QKC9:QKC33 QTY9:QTY33 RDU9:RDU33 RNQ9:RNQ33 RXM9:RXM33 SHI9:SHI33 SRE9:SRE33 TBA9:TBA33 TKW9:TKW33 TUS9:TUS33 UEO9:UEO33 UOK9:UOK33 UYG9:UYG33 VIC9:VIC33 VRY9:VRY33 WBU9:WBU33 WLQ9:WLQ33 WVM9:WVM33 JA9:JA33 SW9:SW33 TA32:TA33 ACW32:ACW33 AMS32:AMS33 AWO32:AWO33 BGK32:BGK33 BQG32:BQG33 CAC32:CAC33 CJY32:CJY33 CTU32:CTU33 DDQ32:DDQ33 DNM32:DNM33 DXI32:DXI33 EHE32:EHE33 ERA32:ERA33 FAW32:FAW33 FKS32:FKS33 FUO32:FUO33 GEK32:GEK33 GOG32:GOG33 GYC32:GYC33 HHY32:HHY33 HRU32:HRU33 IBQ32:IBQ33 ILM32:ILM33 IVI32:IVI33 JFE32:JFE33 JPA32:JPA33 JYW32:JYW33 KIS32:KIS33 KSO32:KSO33 LCK32:LCK33 LMG32:LMG33 LWC32:LWC33 MFY32:MFY33 MPU32:MPU33 MZQ32:MZQ33 NJM32:NJM33 NTI32:NTI33 ODE32:ODE33 ONA32:ONA33 OWW32:OWW33 PGS32:PGS33 PQO32:PQO33 QAK32:QAK33 QKG32:QKG33 QUC32:QUC33 RDY32:RDY33 RNU32:RNU33 RXQ32:RXQ33 SHM32:SHM33 SRI32:SRI33 TBE32:TBE33 TLA32:TLA33 TUW32:TUW33 UES32:UES33 UOO32:UOO33 UYK32:UYK33 VIG32:VIG33 VSC32:VSC33 WBY32:WBY33 WLU32:WLU33 JE32:JE33 WVQ32:WVQ33 JE20:JE29 TA20:TA29 ACW20:ACW29 AMS20:AMS29 AWO20:AWO29 BGK20:BGK29 BQG20:BQG29 CAC20:CAC29 CJY20:CJY29 CTU20:CTU29 DDQ20:DDQ29 DNM20:DNM29 DXI20:DXI29 EHE20:EHE29 ERA20:ERA29 FAW20:FAW29 FKS20:FKS29 FUO20:FUO29 GEK20:GEK29 GOG20:GOG29 GYC20:GYC29 HHY20:HHY29 HRU20:HRU29 IBQ20:IBQ29 ILM20:ILM29 IVI20:IVI29 JFE20:JFE29 JPA20:JPA29 JYW20:JYW29 KIS20:KIS29 KSO20:KSO29 LCK20:LCK29 LMG20:LMG29 LWC20:LWC29 MFY20:MFY29 MPU20:MPU29 MZQ20:MZQ29 NJM20:NJM29 NTI20:NTI29 ODE20:ODE29 ONA20:ONA29 OWW20:OWW29 PGS20:PGS29 PQO20:PQO29 QAK20:QAK29 QKG20:QKG29 QUC20:QUC29 RDY20:RDY29 RNU20:RNU29 RXQ20:RXQ29 SHM20:SHM29 SRI20:SRI29 TBE20:TBE29 TLA20:TLA29 TUW20:TUW29 UES20:UES29 UOO20:UOO29 UYK20:UYK29 VIG20:VIG29 VSC20:VSC29 WBY20:WBY29 WLU20:WLU29">
      <formula1>9999999999999990</formula1>
    </dataValidation>
  </dataValidations>
  <pageMargins left="0.54" right="0.56000000000000005" top="0.48" bottom="0.35433070866141736" header="0.35433070866141736" footer="0.23622047244094491"/>
  <pageSetup paperSize="9" scale="44" fitToHeight="100" orientation="landscape" r:id="rId1"/>
  <rowBreaks count="1" manualBreakCount="1">
    <brk id="14" max="12" man="1"/>
  </rowBreaks>
</worksheet>
</file>

<file path=xl/worksheets/sheet2.xml><?xml version="1.0" encoding="utf-8"?>
<worksheet xmlns="http://schemas.openxmlformats.org/spreadsheetml/2006/main" xmlns:r="http://schemas.openxmlformats.org/officeDocument/2006/relationships">
  <dimension ref="H11:K30"/>
  <sheetViews>
    <sheetView topLeftCell="A7" workbookViewId="0">
      <selection activeCell="K13" sqref="K13:K30"/>
    </sheetView>
  </sheetViews>
  <sheetFormatPr defaultRowHeight="15"/>
  <sheetData>
    <row r="11" spans="8:11">
      <c r="H11">
        <f>8178*2%</f>
        <v>163.56</v>
      </c>
    </row>
    <row r="13" spans="8:11">
      <c r="K13">
        <v>98304</v>
      </c>
    </row>
    <row r="14" spans="8:11">
      <c r="K14">
        <v>57960</v>
      </c>
    </row>
    <row r="15" spans="8:11">
      <c r="K15">
        <v>18768</v>
      </c>
    </row>
    <row r="16" spans="8:11">
      <c r="K16">
        <v>87405</v>
      </c>
    </row>
    <row r="17" spans="11:11">
      <c r="K17">
        <v>145179</v>
      </c>
    </row>
    <row r="18" spans="11:11">
      <c r="K18">
        <v>3036</v>
      </c>
    </row>
    <row r="19" spans="11:11">
      <c r="K19">
        <v>52976</v>
      </c>
    </row>
    <row r="20" spans="11:11">
      <c r="K20">
        <v>38160</v>
      </c>
    </row>
    <row r="21" spans="11:11">
      <c r="K21">
        <v>3080</v>
      </c>
    </row>
    <row r="22" spans="11:11">
      <c r="K22">
        <v>456</v>
      </c>
    </row>
    <row r="23" spans="11:11">
      <c r="K23">
        <v>600</v>
      </c>
    </row>
    <row r="24" spans="11:11">
      <c r="K24">
        <v>1680</v>
      </c>
    </row>
    <row r="25" spans="11:11">
      <c r="K25">
        <v>1800</v>
      </c>
    </row>
    <row r="26" spans="11:11">
      <c r="K26">
        <v>6000</v>
      </c>
    </row>
    <row r="27" spans="11:11">
      <c r="K27">
        <f>8*448</f>
        <v>3584</v>
      </c>
    </row>
    <row r="28" spans="11:11">
      <c r="K28">
        <v>81600</v>
      </c>
    </row>
    <row r="30" spans="11:11">
      <c r="K30">
        <f>SUM(K13:K29)</f>
        <v>600588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final (2)</vt:lpstr>
      <vt:lpstr>Sheet1</vt:lpstr>
      <vt:lpstr>'final (2)'!Print_Area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Engg-26</cp:lastModifiedBy>
  <cp:lastPrinted>2026-07-23T11:15:54Z</cp:lastPrinted>
  <dcterms:created xsi:type="dcterms:W3CDTF">2026-03-25T06:33:01Z</dcterms:created>
  <dcterms:modified xsi:type="dcterms:W3CDTF">2026-07-24T05:23:07Z</dcterms:modified>
</cp:coreProperties>
</file>